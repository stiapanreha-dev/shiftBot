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commission" sheetId="1" r:id="rId4"/>
    <sheet state="visible" name="bonus commission" sheetId="2" r:id="rId5"/>
    <sheet state="visible" name="Final Version" sheetId="3" r:id="rId6"/>
  </sheets>
  <definedNames/>
  <calcPr/>
</workbook>
</file>

<file path=xl/sharedStrings.xml><?xml version="1.0" encoding="utf-8"?>
<sst xmlns="http://schemas.openxmlformats.org/spreadsheetml/2006/main" count="236" uniqueCount="75">
  <si>
    <t>Tier C</t>
  </si>
  <si>
    <t>Sales</t>
  </si>
  <si>
    <t>Base Salary</t>
  </si>
  <si>
    <t>Total Sales</t>
  </si>
  <si>
    <t>Tiers</t>
  </si>
  <si>
    <t>Daily Income Per</t>
  </si>
  <si>
    <t>Total Base</t>
  </si>
  <si>
    <t>Approx. Total Salary 6h</t>
  </si>
  <si>
    <t>Tier S</t>
  </si>
  <si>
    <t>Approx. Total Salary 8h</t>
  </si>
  <si>
    <t>Tier A</t>
  </si>
  <si>
    <t>2-4%</t>
  </si>
  <si>
    <t>Approx. Total Salary 12h</t>
  </si>
  <si>
    <t>Tier B</t>
  </si>
  <si>
    <t>Sales F1</t>
  </si>
  <si>
    <t>Salary F1</t>
  </si>
  <si>
    <t>Sales F2</t>
  </si>
  <si>
    <t>Salary F2</t>
  </si>
  <si>
    <t>Bharbz</t>
  </si>
  <si>
    <t>Hours</t>
  </si>
  <si>
    <t>Rolling AVG</t>
  </si>
  <si>
    <t>Bonus Counter</t>
  </si>
  <si>
    <t>Total Salary</t>
  </si>
  <si>
    <t>Percentage</t>
  </si>
  <si>
    <t>N/A</t>
  </si>
  <si>
    <t>Base</t>
  </si>
  <si>
    <t>Bonus</t>
  </si>
  <si>
    <t>Total</t>
  </si>
  <si>
    <t>F1</t>
  </si>
  <si>
    <t>6h</t>
  </si>
  <si>
    <t>8h</t>
  </si>
  <si>
    <t>12h</t>
  </si>
  <si>
    <t>F2</t>
  </si>
  <si>
    <t>Extrapolated</t>
  </si>
  <si>
    <t>Total before bonus</t>
  </si>
  <si>
    <t>Total after bonus</t>
  </si>
  <si>
    <t>Chino</t>
  </si>
  <si>
    <t>Xandy</t>
  </si>
  <si>
    <t>Count R</t>
  </si>
  <si>
    <t>Count S</t>
  </si>
  <si>
    <t>Standard AVG</t>
  </si>
  <si>
    <t>kto popuskaet</t>
  </si>
  <si>
    <t>Total February</t>
  </si>
  <si>
    <t>February F1</t>
  </si>
  <si>
    <t>Rolling</t>
  </si>
  <si>
    <t>Standard</t>
  </si>
  <si>
    <t>January F1</t>
  </si>
  <si>
    <t>base</t>
  </si>
  <si>
    <t>bonus R</t>
  </si>
  <si>
    <t>bonus S</t>
  </si>
  <si>
    <t>total Feb R</t>
  </si>
  <si>
    <t>total Feb S</t>
  </si>
  <si>
    <t>% of base R</t>
  </si>
  <si>
    <t>% of base S</t>
  </si>
  <si>
    <t>February F2</t>
  </si>
  <si>
    <t>January F2</t>
  </si>
  <si>
    <t>Jan + Feb Total</t>
  </si>
  <si>
    <t>Gross Sales</t>
  </si>
  <si>
    <t>Net Sales</t>
  </si>
  <si>
    <t>Rolling Average</t>
  </si>
  <si>
    <t>Hourly Salary (8h)</t>
  </si>
  <si>
    <t>Tiers (Daily Average)</t>
  </si>
  <si>
    <t>Fortnight 1</t>
  </si>
  <si>
    <t>F1 Additional Info</t>
  </si>
  <si>
    <t>Hourly Salary</t>
  </si>
  <si>
    <t>Bonus/Base</t>
  </si>
  <si>
    <t>T.S./Net Sales</t>
  </si>
  <si>
    <t>T.S./Gross</t>
  </si>
  <si>
    <t>Fortnight 2</t>
  </si>
  <si>
    <t>F2 Additional Info</t>
  </si>
  <si>
    <t>Totals</t>
  </si>
  <si>
    <t>bonus</t>
  </si>
  <si>
    <t>hourly</t>
  </si>
  <si>
    <t>base*counter*percentage</t>
  </si>
  <si>
    <t>base*(1+counter*percentage)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</si>
</sst>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£-809]#,##0.00"/>
    <numFmt numFmtId="165" formatCode="[$$]#,##0.00"/>
    <numFmt numFmtId="166" formatCode="mmmm d"/>
    <numFmt numFmtId="167" formatCode="mmm d"/>
    <numFmt numFmtId="168" formatCode="d mmmm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8.0"/>
      <color theme="1"/>
      <name val="Arial"/>
      <scheme val="minor"/>
    </font>
    <font/>
    <font>
      <b/>
      <color theme="1"/>
      <name val="Arial"/>
    </font>
    <font>
      <color theme="1"/>
      <name val="Arial"/>
    </font>
    <font>
      <b/>
      <sz val="20.0"/>
      <color rgb="FF000000"/>
      <name val="Arial"/>
      <scheme val="minor"/>
    </font>
    <font>
      <b/>
      <sz val="20.0"/>
      <color theme="1"/>
      <name val="Arial"/>
      <scheme val="minor"/>
    </font>
    <font>
      <b/>
      <sz val="15.0"/>
      <color theme="1"/>
      <name val="Arial"/>
      <scheme val="minor"/>
    </font>
    <font>
      <b/>
      <sz val="13.0"/>
      <color theme="1"/>
      <name val="Arial"/>
      <scheme val="minor"/>
    </font>
    <font>
      <b/>
      <sz val="15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20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D9D9D9"/>
        <bgColor rgb="FFD9D9D9"/>
      </patternFill>
    </fill>
    <fill>
      <patternFill patternType="solid">
        <fgColor rgb="FF45818E"/>
        <bgColor rgb="FF45818E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741B47"/>
        <bgColor rgb="FF741B47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8E7CC3"/>
        <bgColor rgb="FF8E7CC3"/>
      </patternFill>
    </fill>
  </fills>
  <borders count="5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</border>
    <border>
      <right style="thick">
        <color rgb="FF000000"/>
      </right>
      <bottom style="medium">
        <color rgb="FF000000"/>
      </bottom>
    </border>
    <border>
      <right style="thick">
        <color rgb="FF000000"/>
      </right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1" fillId="2" fontId="2" numFmtId="0" xfId="0" applyAlignment="1" applyBorder="1" applyFill="1" applyFont="1">
      <alignment readingOrder="0"/>
    </xf>
    <xf borderId="2" fillId="2" fontId="2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4" fontId="1" numFmtId="165" xfId="0" applyBorder="1" applyFill="1" applyFont="1" applyNumberFormat="1"/>
    <xf borderId="4" fillId="5" fontId="3" numFmtId="0" xfId="0" applyAlignment="1" applyBorder="1" applyFill="1" applyFont="1">
      <alignment horizontal="center" readingOrder="0" vertical="center"/>
    </xf>
    <xf borderId="5" fillId="0" fontId="4" numFmtId="0" xfId="0" applyBorder="1" applyFont="1"/>
    <xf borderId="6" fillId="0" fontId="4" numFmtId="0" xfId="0" applyBorder="1" applyFont="1"/>
    <xf borderId="7" fillId="3" fontId="2" numFmtId="166" xfId="0" applyAlignment="1" applyBorder="1" applyFont="1" applyNumberFormat="1">
      <alignment horizontal="center" readingOrder="0"/>
    </xf>
    <xf borderId="1" fillId="6" fontId="1" numFmtId="165" xfId="0" applyBorder="1" applyFill="1" applyFont="1" applyNumberForma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3" fontId="2" numFmtId="166" xfId="0" applyAlignment="1" applyBorder="1" applyFont="1" applyNumberFormat="1">
      <alignment horizontal="center" readingOrder="0"/>
    </xf>
    <xf borderId="1" fillId="7" fontId="2" numFmtId="0" xfId="0" applyAlignment="1" applyBorder="1" applyFill="1" applyFont="1">
      <alignment horizontal="center" readingOrder="0"/>
    </xf>
    <xf borderId="1" fillId="4" fontId="1" numFmtId="165" xfId="0" applyAlignment="1" applyBorder="1" applyFont="1" applyNumberFormat="1">
      <alignment readingOrder="0"/>
    </xf>
    <xf borderId="1" fillId="4" fontId="1" numFmtId="10" xfId="0" applyAlignment="1" applyBorder="1" applyFont="1" applyNumberFormat="1">
      <alignment readingOrder="0"/>
    </xf>
    <xf borderId="1" fillId="7" fontId="2" numFmtId="0" xfId="0" applyAlignment="1" applyBorder="1" applyFont="1">
      <alignment horizontal="center"/>
    </xf>
    <xf borderId="1" fillId="4" fontId="1" numFmtId="10" xfId="0" applyAlignment="1" applyBorder="1" applyFont="1" applyNumberFormat="1">
      <alignment horizontal="righ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3" fontId="5" numFmtId="0" xfId="0" applyAlignment="1" applyBorder="1" applyFont="1">
      <alignment readingOrder="0" vertical="bottom"/>
    </xf>
    <xf borderId="1" fillId="4" fontId="6" numFmtId="165" xfId="0" applyAlignment="1" applyBorder="1" applyFont="1" applyNumberFormat="1">
      <alignment horizontal="right" vertical="bottom"/>
    </xf>
    <xf borderId="0" fillId="0" fontId="1" numFmtId="10" xfId="0" applyFont="1" applyNumberFormat="1"/>
    <xf borderId="1" fillId="3" fontId="1" numFmtId="0" xfId="0" applyAlignment="1" applyBorder="1" applyFont="1">
      <alignment readingOrder="0"/>
    </xf>
    <xf borderId="7" fillId="3" fontId="2" numFmtId="166" xfId="0" applyAlignment="1" applyBorder="1" applyFont="1" applyNumberFormat="1">
      <alignment horizontal="left" readingOrder="0"/>
    </xf>
    <xf borderId="1" fillId="3" fontId="2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readingOrder="0" vertical="bottom"/>
    </xf>
    <xf borderId="12" fillId="8" fontId="7" numFmtId="0" xfId="0" applyAlignment="1" applyBorder="1" applyFill="1" applyFont="1">
      <alignment horizontal="center" readingOrder="0" vertical="center"/>
    </xf>
    <xf borderId="13" fillId="0" fontId="4" numFmtId="0" xfId="0" applyBorder="1" applyFont="1"/>
    <xf borderId="14" fillId="0" fontId="4" numFmtId="0" xfId="0" applyBorder="1" applyFont="1"/>
    <xf borderId="12" fillId="8" fontId="8" numFmtId="0" xfId="0" applyAlignment="1" applyBorder="1" applyFont="1">
      <alignment horizontal="center" readingOrder="0" vertical="center"/>
    </xf>
    <xf borderId="11" fillId="3" fontId="2" numFmtId="166" xfId="0" applyAlignment="1" applyBorder="1" applyFont="1" applyNumberFormat="1">
      <alignment horizontal="left" readingOrder="0"/>
    </xf>
    <xf borderId="4" fillId="4" fontId="8" numFmtId="165" xfId="0" applyAlignment="1" applyBorder="1" applyFont="1" applyNumberFormat="1">
      <alignment horizontal="center" readingOrder="0" vertical="center"/>
    </xf>
    <xf borderId="15" fillId="0" fontId="4" numFmtId="0" xfId="0" applyBorder="1" applyFont="1"/>
    <xf borderId="16" fillId="0" fontId="4" numFmtId="0" xfId="0" applyBorder="1" applyFont="1"/>
    <xf borderId="17" fillId="3" fontId="2" numFmtId="166" xfId="0" applyAlignment="1" applyBorder="1" applyFont="1" applyNumberFormat="1">
      <alignment horizontal="center" readingOrder="0"/>
    </xf>
    <xf borderId="1" fillId="3" fontId="2" numFmtId="166" xfId="0" applyAlignment="1" applyBorder="1" applyFont="1" applyNumberFormat="1">
      <alignment horizontal="center" readingOrder="0"/>
    </xf>
    <xf borderId="0" fillId="0" fontId="1" numFmtId="165" xfId="0" applyFont="1" applyNumberFormat="1"/>
    <xf borderId="1" fillId="4" fontId="1" numFmtId="0" xfId="0" applyAlignment="1" applyBorder="1" applyFont="1">
      <alignment readingOrder="0"/>
    </xf>
    <xf borderId="0" fillId="0" fontId="1" numFmtId="0" xfId="0" applyFont="1"/>
    <xf borderId="0" fillId="0" fontId="2" numFmtId="166" xfId="0" applyAlignment="1" applyFont="1" applyNumberFormat="1">
      <alignment horizontal="left" readingOrder="0"/>
    </xf>
    <xf borderId="1" fillId="9" fontId="2" numFmtId="167" xfId="0" applyAlignment="1" applyBorder="1" applyFill="1" applyFont="1" applyNumberFormat="1">
      <alignment horizontal="center" readingOrder="0"/>
    </xf>
    <xf borderId="1" fillId="4" fontId="1" numFmtId="0" xfId="0" applyBorder="1" applyFont="1"/>
    <xf borderId="12" fillId="9" fontId="2" numFmtId="167" xfId="0" applyAlignment="1" applyBorder="1" applyFont="1" applyNumberFormat="1">
      <alignment horizontal="center" readingOrder="0"/>
    </xf>
    <xf borderId="12" fillId="0" fontId="2" numFmtId="0" xfId="0" applyAlignment="1" applyBorder="1" applyFont="1">
      <alignment horizontal="center" readingOrder="0"/>
    </xf>
    <xf borderId="12" fillId="0" fontId="2" numFmtId="0" xfId="0" applyAlignment="1" applyBorder="1" applyFont="1">
      <alignment readingOrder="0"/>
    </xf>
    <xf borderId="0" fillId="0" fontId="1" numFmtId="9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18" fillId="10" fontId="2" numFmtId="167" xfId="0" applyAlignment="1" applyBorder="1" applyFill="1" applyFont="1" applyNumberFormat="1">
      <alignment horizontal="center" readingOrder="0"/>
    </xf>
    <xf borderId="19" fillId="4" fontId="1" numFmtId="0" xfId="0" applyBorder="1" applyFont="1"/>
    <xf borderId="20" fillId="4" fontId="1" numFmtId="0" xfId="0" applyBorder="1" applyFont="1"/>
    <xf borderId="21" fillId="10" fontId="2" numFmtId="167" xfId="0" applyAlignment="1" applyBorder="1" applyFont="1" applyNumberFormat="1">
      <alignment horizontal="center" readingOrder="0"/>
    </xf>
    <xf borderId="22" fillId="4" fontId="1" numFmtId="0" xfId="0" applyBorder="1" applyFont="1"/>
    <xf borderId="23" fillId="10" fontId="2" numFmtId="167" xfId="0" applyAlignment="1" applyBorder="1" applyFont="1" applyNumberFormat="1">
      <alignment horizontal="center" readingOrder="0"/>
    </xf>
    <xf borderId="24" fillId="10" fontId="2" numFmtId="167" xfId="0" applyAlignment="1" applyBorder="1" applyFont="1" applyNumberFormat="1">
      <alignment horizontal="center" readingOrder="0"/>
    </xf>
    <xf borderId="25" fillId="10" fontId="2" numFmtId="167" xfId="0" applyAlignment="1" applyBorder="1" applyFont="1" applyNumberFormat="1">
      <alignment horizontal="center" readingOrder="0"/>
    </xf>
    <xf borderId="26" fillId="4" fontId="1" numFmtId="0" xfId="0" applyBorder="1" applyFont="1"/>
    <xf borderId="27" fillId="4" fontId="1" numFmtId="0" xfId="0" applyBorder="1" applyFont="1"/>
    <xf borderId="18" fillId="11" fontId="2" numFmtId="167" xfId="0" applyAlignment="1" applyBorder="1" applyFill="1" applyFont="1" applyNumberFormat="1">
      <alignment horizontal="center" readingOrder="0"/>
    </xf>
    <xf borderId="21" fillId="11" fontId="2" numFmtId="167" xfId="0" applyAlignment="1" applyBorder="1" applyFont="1" applyNumberFormat="1">
      <alignment horizontal="center" readingOrder="0"/>
    </xf>
    <xf borderId="28" fillId="11" fontId="2" numFmtId="0" xfId="0" applyAlignment="1" applyBorder="1" applyFont="1">
      <alignment horizontal="center" readingOrder="0"/>
    </xf>
    <xf borderId="29" fillId="11" fontId="9" numFmtId="0" xfId="0" applyAlignment="1" applyBorder="1" applyFont="1">
      <alignment horizontal="center" readingOrder="0" shrinkToFit="0" vertical="center" wrapText="1"/>
    </xf>
    <xf borderId="30" fillId="0" fontId="9" numFmtId="0" xfId="0" applyAlignment="1" applyBorder="1" applyFont="1">
      <alignment horizontal="center" readingOrder="0" vertical="center"/>
    </xf>
    <xf borderId="31" fillId="0" fontId="4" numFmtId="0" xfId="0" applyBorder="1" applyFont="1"/>
    <xf borderId="32" fillId="0" fontId="1" numFmtId="0" xfId="0" applyAlignment="1" applyBorder="1" applyFont="1">
      <alignment horizontal="center" readingOrder="0"/>
    </xf>
    <xf borderId="33" fillId="0" fontId="4" numFmtId="0" xfId="0" applyBorder="1" applyFont="1"/>
    <xf borderId="29" fillId="10" fontId="9" numFmtId="0" xfId="0" applyAlignment="1" applyBorder="1" applyFont="1">
      <alignment horizontal="center" readingOrder="0" shrinkToFit="0" vertical="center" wrapText="1"/>
    </xf>
    <xf borderId="34" fillId="0" fontId="4" numFmtId="0" xfId="0" applyBorder="1" applyFont="1"/>
    <xf borderId="1" fillId="0" fontId="1" numFmtId="10" xfId="0" applyAlignment="1" applyBorder="1" applyFont="1" applyNumberFormat="1">
      <alignment horizontal="center" readingOrder="0"/>
    </xf>
    <xf borderId="35" fillId="0" fontId="4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22" fillId="0" fontId="1" numFmtId="0" xfId="0" applyBorder="1" applyFont="1"/>
    <xf borderId="36" fillId="0" fontId="1" numFmtId="0" xfId="0" applyBorder="1" applyFont="1"/>
    <xf borderId="37" fillId="0" fontId="4" numFmtId="0" xfId="0" applyBorder="1" applyFont="1"/>
    <xf borderId="26" fillId="0" fontId="1" numFmtId="0" xfId="0" applyAlignment="1" applyBorder="1" applyFont="1">
      <alignment readingOrder="0"/>
    </xf>
    <xf borderId="38" fillId="0" fontId="1" numFmtId="10" xfId="0" applyBorder="1" applyFont="1" applyNumberFormat="1"/>
    <xf borderId="39" fillId="0" fontId="1" numFmtId="0" xfId="0" applyBorder="1" applyFont="1"/>
    <xf borderId="40" fillId="0" fontId="1" numFmtId="0" xfId="0" applyAlignment="1" applyBorder="1" applyFont="1">
      <alignment readingOrder="0"/>
    </xf>
    <xf borderId="27" fillId="0" fontId="1" numFmtId="10" xfId="0" applyBorder="1" applyFont="1" applyNumberFormat="1"/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12" fillId="0" fontId="10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1" fillId="12" fontId="2" numFmtId="0" xfId="0" applyAlignment="1" applyBorder="1" applyFill="1" applyFont="1">
      <alignment readingOrder="0"/>
    </xf>
    <xf borderId="1" fillId="12" fontId="2" numFmtId="168" xfId="0" applyAlignment="1" applyBorder="1" applyFont="1" applyNumberFormat="1">
      <alignment horizontal="left" readingOrder="0"/>
    </xf>
    <xf borderId="41" fillId="4" fontId="1" numFmtId="165" xfId="0" applyBorder="1" applyFont="1" applyNumberFormat="1"/>
    <xf borderId="42" fillId="4" fontId="1" numFmtId="165" xfId="0" applyBorder="1" applyFont="1" applyNumberFormat="1"/>
    <xf borderId="42" fillId="4" fontId="1" numFmtId="165" xfId="0" applyAlignment="1" applyBorder="1" applyFont="1" applyNumberFormat="1">
      <alignment readingOrder="0"/>
    </xf>
    <xf borderId="42" fillId="4" fontId="1" numFmtId="0" xfId="0" applyAlignment="1" applyBorder="1" applyFont="1">
      <alignment readingOrder="0"/>
    </xf>
    <xf borderId="43" fillId="4" fontId="1" numFmtId="165" xfId="0" applyBorder="1" applyFont="1" applyNumberFormat="1"/>
    <xf borderId="44" fillId="4" fontId="1" numFmtId="165" xfId="0" applyAlignment="1" applyBorder="1" applyFont="1" applyNumberFormat="1">
      <alignment readingOrder="0"/>
    </xf>
    <xf borderId="44" fillId="4" fontId="1" numFmtId="0" xfId="0" applyAlignment="1" applyBorder="1" applyFont="1">
      <alignment readingOrder="0"/>
    </xf>
    <xf borderId="44" fillId="4" fontId="1" numFmtId="165" xfId="0" applyBorder="1" applyFont="1" applyNumberFormat="1"/>
    <xf borderId="44" fillId="4" fontId="1" numFmtId="0" xfId="0" applyBorder="1" applyFont="1"/>
    <xf borderId="4" fillId="12" fontId="8" numFmtId="0" xfId="0" applyAlignment="1" applyBorder="1" applyFont="1">
      <alignment horizontal="center" readingOrder="0" vertical="center"/>
    </xf>
    <xf borderId="45" fillId="4" fontId="2" numFmtId="0" xfId="0" applyAlignment="1" applyBorder="1" applyFont="1">
      <alignment readingOrder="0"/>
    </xf>
    <xf borderId="46" fillId="4" fontId="1" numFmtId="165" xfId="0" applyAlignment="1" applyBorder="1" applyFont="1" applyNumberFormat="1">
      <alignment readingOrder="0"/>
    </xf>
    <xf borderId="47" fillId="4" fontId="1" numFmtId="10" xfId="0" applyAlignment="1" applyBorder="1" applyFont="1" applyNumberFormat="1">
      <alignment readingOrder="0"/>
    </xf>
    <xf borderId="48" fillId="4" fontId="2" numFmtId="0" xfId="0" applyAlignment="1" applyBorder="1" applyFont="1">
      <alignment readingOrder="0"/>
    </xf>
    <xf borderId="49" fillId="4" fontId="1" numFmtId="10" xfId="0" applyAlignment="1" applyBorder="1" applyFont="1" applyNumberFormat="1">
      <alignment readingOrder="0"/>
    </xf>
    <xf borderId="50" fillId="4" fontId="2" numFmtId="0" xfId="0" applyAlignment="1" applyBorder="1" applyFont="1">
      <alignment readingOrder="0"/>
    </xf>
    <xf borderId="51" fillId="4" fontId="1" numFmtId="165" xfId="0" applyAlignment="1" applyBorder="1" applyFont="1" applyNumberFormat="1">
      <alignment readingOrder="0"/>
    </xf>
    <xf borderId="52" fillId="4" fontId="1" numFmtId="10" xfId="0" applyAlignment="1" applyBorder="1" applyFont="1" applyNumberFormat="1">
      <alignment readingOrder="0"/>
    </xf>
    <xf borderId="1" fillId="12" fontId="12" numFmtId="0" xfId="0" applyAlignment="1" applyBorder="1" applyFont="1">
      <alignment horizontal="center" readingOrder="0" vertical="center"/>
    </xf>
    <xf borderId="1" fillId="4" fontId="13" numFmtId="10" xfId="0" applyAlignment="1" applyBorder="1" applyFont="1" applyNumberFormat="1">
      <alignment horizontal="center" readingOrder="0" vertical="center"/>
    </xf>
    <xf borderId="47" fillId="4" fontId="1" numFmtId="165" xfId="0" applyBorder="1" applyFont="1" applyNumberFormat="1"/>
    <xf borderId="49" fillId="4" fontId="1" numFmtId="165" xfId="0" applyBorder="1" applyFont="1" applyNumberFormat="1"/>
    <xf borderId="2" fillId="12" fontId="2" numFmtId="0" xfId="0" applyAlignment="1" applyBorder="1" applyFont="1">
      <alignment horizontal="center" readingOrder="0"/>
    </xf>
    <xf borderId="3" fillId="0" fontId="4" numFmtId="0" xfId="0" applyBorder="1" applyFont="1"/>
    <xf borderId="53" fillId="4" fontId="2" numFmtId="0" xfId="0" applyAlignment="1" applyBorder="1" applyFont="1">
      <alignment readingOrder="0"/>
    </xf>
    <xf borderId="43" fillId="4" fontId="1" numFmtId="0" xfId="0" applyBorder="1" applyFont="1"/>
    <xf borderId="49" fillId="4" fontId="1" numFmtId="10" xfId="0" applyBorder="1" applyFont="1" applyNumberFormat="1"/>
    <xf borderId="52" fillId="4" fontId="1" numFmtId="165" xfId="0" applyBorder="1" applyFont="1" applyNumberFormat="1"/>
    <xf borderId="52" fillId="4" fontId="1" numFmtId="10" xfId="0" applyBorder="1" applyFont="1" applyNumberFormat="1"/>
    <xf borderId="4" fillId="12" fontId="14" numFmtId="0" xfId="0" applyAlignment="1" applyBorder="1" applyFont="1">
      <alignment horizontal="center" readingOrder="0"/>
    </xf>
    <xf borderId="45" fillId="4" fontId="5" numFmtId="0" xfId="0" applyAlignment="1" applyBorder="1" applyFont="1">
      <alignment vertical="bottom"/>
    </xf>
    <xf borderId="47" fillId="4" fontId="6" numFmtId="165" xfId="0" applyAlignment="1" applyBorder="1" applyFont="1" applyNumberFormat="1">
      <alignment horizontal="right" vertical="bottom"/>
    </xf>
    <xf borderId="48" fillId="4" fontId="5" numFmtId="0" xfId="0" applyAlignment="1" applyBorder="1" applyFont="1">
      <alignment vertical="bottom"/>
    </xf>
    <xf borderId="49" fillId="4" fontId="6" numFmtId="165" xfId="0" applyAlignment="1" applyBorder="1" applyFont="1" applyNumberFormat="1">
      <alignment horizontal="right" vertical="bottom"/>
    </xf>
    <xf borderId="54" fillId="4" fontId="1" numFmtId="165" xfId="0" applyBorder="1" applyFont="1" applyNumberFormat="1"/>
    <xf borderId="55" fillId="4" fontId="1" numFmtId="165" xfId="0" applyBorder="1" applyFont="1" applyNumberFormat="1"/>
    <xf borderId="56" fillId="4" fontId="1" numFmtId="165" xfId="0" applyBorder="1" applyFont="1" applyNumberFormat="1"/>
    <xf borderId="56" fillId="4" fontId="1" numFmtId="0" xfId="0" applyBorder="1" applyFont="1"/>
    <xf borderId="57" fillId="4" fontId="1" numFmtId="165" xfId="0" applyBorder="1" applyFont="1" applyNumberFormat="1"/>
    <xf borderId="50" fillId="4" fontId="5" numFmtId="0" xfId="0" applyAlignment="1" applyBorder="1" applyFont="1">
      <alignment readingOrder="0" vertical="bottom"/>
    </xf>
    <xf borderId="52" fillId="4" fontId="6" numFmtId="165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  <col customWidth="1" min="17" max="17" width="20.25"/>
  </cols>
  <sheetData>
    <row r="3">
      <c r="K3" s="1"/>
      <c r="M3" s="2" t="s">
        <v>0</v>
      </c>
      <c r="N3" s="3" t="s">
        <v>1</v>
      </c>
      <c r="O3" s="4" t="s">
        <v>2</v>
      </c>
      <c r="Q3" s="5" t="s">
        <v>3</v>
      </c>
      <c r="R3" s="6">
        <f>SUM(N4:N34)</f>
        <v>25474</v>
      </c>
      <c r="T3" s="1"/>
    </row>
    <row r="4">
      <c r="B4" s="7" t="s">
        <v>4</v>
      </c>
      <c r="C4" s="8"/>
      <c r="D4" s="8"/>
      <c r="E4" s="9"/>
      <c r="G4" s="7" t="s">
        <v>5</v>
      </c>
      <c r="H4" s="8"/>
      <c r="I4" s="8"/>
      <c r="J4" s="9"/>
      <c r="M4" s="10">
        <v>45992.0</v>
      </c>
      <c r="N4" s="11">
        <f>IFS(
    $M$3="Tier C", RANDBETWEEN($H$9, $I$9),
    $M$3="Tier B", RANDBETWEEN($H$8, $I$8),
    $M$3="Tier A", RANDBETWEEN($H$7, $I$7),
    $M$3="Tier S", RANDBETWEEN($H$6, $I$6)
)</f>
        <v>955</v>
      </c>
      <c r="O4" s="11">
        <f t="shared" ref="O4:O34" si="1">IFS(
    $M$3="Tier C", round(N4*$J$9,1),
    $M$3="Tier B", round(N4*$J$8,1),
    $M$3="Tier A", round(N4*$J$7,1),
    $M$3="Tier S", round(N4*$J$6,1)
)</f>
        <v>57.3</v>
      </c>
      <c r="Q4" s="5" t="s">
        <v>6</v>
      </c>
      <c r="R4" s="6">
        <f>SUM(O4:O34)</f>
        <v>1528.5</v>
      </c>
    </row>
    <row r="5">
      <c r="B5" s="12"/>
      <c r="C5" s="13"/>
      <c r="D5" s="13"/>
      <c r="E5" s="14"/>
      <c r="G5" s="12"/>
      <c r="H5" s="13"/>
      <c r="I5" s="13"/>
      <c r="J5" s="14"/>
      <c r="M5" s="15">
        <v>45993.0</v>
      </c>
      <c r="N5" s="11">
        <f t="shared" ref="N5:N34" si="3">IFS(
    $M$3="Tier C", RANDBETWEEN($H$9, $I$9),
    $M$3="Tier B", RANDBETWEEN($H$8, $I$8),
    $M$3="Tier A", RANDBETWEEN($H$7, $I$7),
    $M$3="Tier S", RANDBETWEEN($H$6, $H$6*3)
)</f>
        <v>1081</v>
      </c>
      <c r="O5" s="11">
        <f t="shared" si="1"/>
        <v>64.9</v>
      </c>
      <c r="Q5" s="5" t="s">
        <v>7</v>
      </c>
      <c r="R5" s="6">
        <f t="shared" ref="R5:R7" si="4">U18+U23</f>
        <v>2003.1375</v>
      </c>
    </row>
    <row r="6">
      <c r="B6" s="16" t="s">
        <v>8</v>
      </c>
      <c r="C6" s="17">
        <v>100000.0</v>
      </c>
      <c r="D6" s="17">
        <v>300000.0</v>
      </c>
      <c r="E6" s="18">
        <v>0.04</v>
      </c>
      <c r="G6" s="19" t="str">
        <f t="shared" ref="G6:G9" si="5">B6</f>
        <v>Tier S</v>
      </c>
      <c r="H6" s="6">
        <f t="shared" ref="H6:I6" si="2">IFERROR(round(C6/30,0),"")</f>
        <v>3333</v>
      </c>
      <c r="I6" s="6">
        <f t="shared" si="2"/>
        <v>10000</v>
      </c>
      <c r="J6" s="18">
        <f t="shared" ref="J6:J9" si="7">E6</f>
        <v>0.04</v>
      </c>
      <c r="M6" s="15">
        <v>45994.0</v>
      </c>
      <c r="N6" s="11">
        <f t="shared" si="3"/>
        <v>285</v>
      </c>
      <c r="O6" s="11">
        <f t="shared" si="1"/>
        <v>17.1</v>
      </c>
      <c r="Q6" s="5" t="s">
        <v>9</v>
      </c>
      <c r="R6" s="6">
        <f t="shared" si="4"/>
        <v>2123.1375</v>
      </c>
    </row>
    <row r="7">
      <c r="B7" s="16" t="s">
        <v>10</v>
      </c>
      <c r="C7" s="17">
        <v>100000.0</v>
      </c>
      <c r="D7" s="17">
        <v>300000.0</v>
      </c>
      <c r="E7" s="20">
        <v>0.04</v>
      </c>
      <c r="F7" s="21" t="s">
        <v>11</v>
      </c>
      <c r="G7" s="19" t="str">
        <f t="shared" si="5"/>
        <v>Tier A</v>
      </c>
      <c r="H7" s="6">
        <f t="shared" ref="H7:I7" si="6">IFERROR(round(C7/30,0),"")</f>
        <v>3333</v>
      </c>
      <c r="I7" s="6">
        <f t="shared" si="6"/>
        <v>10000</v>
      </c>
      <c r="J7" s="18">
        <f t="shared" si="7"/>
        <v>0.04</v>
      </c>
      <c r="M7" s="15">
        <v>45995.0</v>
      </c>
      <c r="N7" s="11">
        <f t="shared" si="3"/>
        <v>976</v>
      </c>
      <c r="O7" s="11">
        <f t="shared" si="1"/>
        <v>58.6</v>
      </c>
      <c r="Q7" s="5" t="s">
        <v>12</v>
      </c>
      <c r="R7" s="6">
        <f t="shared" si="4"/>
        <v>2363.1375</v>
      </c>
    </row>
    <row r="8">
      <c r="B8" s="16" t="s">
        <v>13</v>
      </c>
      <c r="C8" s="17">
        <v>50000.0</v>
      </c>
      <c r="D8" s="17">
        <v>100000.0</v>
      </c>
      <c r="E8" s="18">
        <v>0.05</v>
      </c>
      <c r="G8" s="19" t="str">
        <f t="shared" si="5"/>
        <v>Tier B</v>
      </c>
      <c r="H8" s="6">
        <f t="shared" ref="H8:I8" si="8">IFERROR(round(C8/30,0),"")</f>
        <v>1667</v>
      </c>
      <c r="I8" s="6">
        <f t="shared" si="8"/>
        <v>3333</v>
      </c>
      <c r="J8" s="18">
        <f t="shared" si="7"/>
        <v>0.05</v>
      </c>
      <c r="M8" s="15">
        <v>45996.0</v>
      </c>
      <c r="N8" s="11">
        <f t="shared" si="3"/>
        <v>236</v>
      </c>
      <c r="O8" s="11">
        <f t="shared" si="1"/>
        <v>14.2</v>
      </c>
      <c r="T8" s="1"/>
    </row>
    <row r="9">
      <c r="B9" s="16" t="s">
        <v>0</v>
      </c>
      <c r="C9" s="17">
        <v>0.0</v>
      </c>
      <c r="D9" s="17">
        <v>50000.0</v>
      </c>
      <c r="E9" s="18">
        <v>0.06</v>
      </c>
      <c r="G9" s="19" t="str">
        <f t="shared" si="5"/>
        <v>Tier C</v>
      </c>
      <c r="H9" s="6">
        <f t="shared" ref="H9:I9" si="9">IFERROR(round(C9/30,0),"")</f>
        <v>0</v>
      </c>
      <c r="I9" s="6">
        <f t="shared" si="9"/>
        <v>1667</v>
      </c>
      <c r="J9" s="18">
        <f t="shared" si="7"/>
        <v>0.06</v>
      </c>
      <c r="M9" s="15">
        <v>45997.0</v>
      </c>
      <c r="N9" s="11">
        <f t="shared" si="3"/>
        <v>164</v>
      </c>
      <c r="O9" s="11">
        <f t="shared" si="1"/>
        <v>9.8</v>
      </c>
      <c r="U9" s="1"/>
    </row>
    <row r="10">
      <c r="M10" s="15">
        <v>45998.0</v>
      </c>
      <c r="N10" s="11">
        <f t="shared" si="3"/>
        <v>624</v>
      </c>
      <c r="O10" s="11">
        <f t="shared" si="1"/>
        <v>37.4</v>
      </c>
      <c r="Q10" s="5" t="s">
        <v>14</v>
      </c>
      <c r="R10" s="6">
        <f>SUM(N4:N18)</f>
        <v>12741</v>
      </c>
    </row>
    <row r="11">
      <c r="M11" s="15">
        <v>45999.0</v>
      </c>
      <c r="N11" s="11">
        <f t="shared" si="3"/>
        <v>1471</v>
      </c>
      <c r="O11" s="11">
        <f t="shared" si="1"/>
        <v>88.3</v>
      </c>
      <c r="Q11" s="5" t="s">
        <v>15</v>
      </c>
      <c r="R11" s="6">
        <f>SUM(O4:O18)</f>
        <v>764.5</v>
      </c>
      <c r="T11" s="22"/>
    </row>
    <row r="12">
      <c r="M12" s="15">
        <v>46000.0</v>
      </c>
      <c r="N12" s="11">
        <f t="shared" si="3"/>
        <v>572</v>
      </c>
      <c r="O12" s="11">
        <f t="shared" si="1"/>
        <v>34.3</v>
      </c>
      <c r="T12" s="1"/>
    </row>
    <row r="13">
      <c r="M13" s="15">
        <v>46001.0</v>
      </c>
      <c r="N13" s="11">
        <f t="shared" si="3"/>
        <v>942</v>
      </c>
      <c r="O13" s="11">
        <f t="shared" si="1"/>
        <v>56.5</v>
      </c>
      <c r="Q13" s="23" t="s">
        <v>16</v>
      </c>
      <c r="R13" s="24">
        <f>SUM(N19:N34)</f>
        <v>12733</v>
      </c>
      <c r="V13" s="25"/>
    </row>
    <row r="14">
      <c r="M14" s="15">
        <v>46002.0</v>
      </c>
      <c r="N14" s="11">
        <f t="shared" si="3"/>
        <v>218</v>
      </c>
      <c r="O14" s="11">
        <f t="shared" si="1"/>
        <v>13.1</v>
      </c>
      <c r="Q14" s="23" t="s">
        <v>17</v>
      </c>
      <c r="R14" s="24">
        <f>SUM(O19:O34)</f>
        <v>764</v>
      </c>
    </row>
    <row r="15">
      <c r="M15" s="15">
        <v>46003.0</v>
      </c>
      <c r="N15" s="11">
        <f t="shared" si="3"/>
        <v>1634</v>
      </c>
      <c r="O15" s="11">
        <f t="shared" si="1"/>
        <v>98</v>
      </c>
    </row>
    <row r="16">
      <c r="B16" s="5" t="s">
        <v>18</v>
      </c>
      <c r="C16" s="5" t="s">
        <v>1</v>
      </c>
      <c r="D16" s="5" t="s">
        <v>2</v>
      </c>
      <c r="E16" s="5" t="s">
        <v>19</v>
      </c>
      <c r="F16" s="5" t="s">
        <v>20</v>
      </c>
      <c r="G16" s="5" t="s">
        <v>21</v>
      </c>
      <c r="H16" s="5" t="s">
        <v>22</v>
      </c>
      <c r="J16" s="26" t="s">
        <v>23</v>
      </c>
      <c r="M16" s="15">
        <v>46004.0</v>
      </c>
      <c r="N16" s="11">
        <f t="shared" si="3"/>
        <v>400</v>
      </c>
      <c r="O16" s="11">
        <f t="shared" si="1"/>
        <v>24</v>
      </c>
    </row>
    <row r="17">
      <c r="B17" s="27">
        <v>45984.0</v>
      </c>
      <c r="C17" s="17">
        <v>392.0</v>
      </c>
      <c r="D17" s="6"/>
      <c r="E17" s="6"/>
      <c r="F17" s="6"/>
      <c r="G17" s="17" t="s">
        <v>24</v>
      </c>
      <c r="H17" s="6"/>
      <c r="J17" s="18">
        <v>0.01</v>
      </c>
      <c r="M17" s="15">
        <v>46005.0</v>
      </c>
      <c r="N17" s="11">
        <f t="shared" si="3"/>
        <v>1623</v>
      </c>
      <c r="O17" s="11">
        <f t="shared" si="1"/>
        <v>97.4</v>
      </c>
      <c r="Q17" s="28"/>
      <c r="R17" s="28" t="s">
        <v>25</v>
      </c>
      <c r="S17" s="28" t="s">
        <v>19</v>
      </c>
      <c r="T17" s="29" t="s">
        <v>26</v>
      </c>
      <c r="U17" s="28" t="s">
        <v>27</v>
      </c>
      <c r="V17" s="30" t="s">
        <v>28</v>
      </c>
    </row>
    <row r="18">
      <c r="B18" s="27">
        <v>45984.0</v>
      </c>
      <c r="C18" s="17">
        <v>143.0</v>
      </c>
      <c r="D18" s="6"/>
      <c r="E18" s="6"/>
      <c r="F18" s="6"/>
      <c r="G18" s="17" t="s">
        <v>24</v>
      </c>
      <c r="H18" s="6"/>
      <c r="M18" s="15">
        <v>46006.0</v>
      </c>
      <c r="N18" s="11">
        <f t="shared" si="3"/>
        <v>1560</v>
      </c>
      <c r="O18" s="11">
        <f t="shared" si="1"/>
        <v>93.6</v>
      </c>
      <c r="Q18" s="5" t="s">
        <v>29</v>
      </c>
      <c r="R18" s="6">
        <f>R11</f>
        <v>764.5</v>
      </c>
      <c r="S18" s="6">
        <f>6*15*2</f>
        <v>180</v>
      </c>
      <c r="T18" s="24">
        <f t="shared" ref="T18:T20" si="10">R18*0.075</f>
        <v>57.3375</v>
      </c>
      <c r="U18" s="6">
        <f t="shared" ref="U18:U20" si="11">SUM(R18:T18)</f>
        <v>1001.8375</v>
      </c>
      <c r="V18" s="31"/>
    </row>
    <row r="19">
      <c r="B19" s="27">
        <v>45985.0</v>
      </c>
      <c r="C19" s="17">
        <v>480.0</v>
      </c>
      <c r="D19" s="6"/>
      <c r="E19" s="6"/>
      <c r="F19" s="6"/>
      <c r="G19" s="17" t="s">
        <v>24</v>
      </c>
      <c r="H19" s="6"/>
      <c r="M19" s="15">
        <v>46007.0</v>
      </c>
      <c r="N19" s="11">
        <f t="shared" si="3"/>
        <v>1646</v>
      </c>
      <c r="O19" s="11">
        <f t="shared" si="1"/>
        <v>98.8</v>
      </c>
      <c r="Q19" s="5" t="s">
        <v>30</v>
      </c>
      <c r="R19" s="6">
        <f t="shared" ref="R19:R20" si="12">R18</f>
        <v>764.5</v>
      </c>
      <c r="S19" s="6">
        <f>8*15*2</f>
        <v>240</v>
      </c>
      <c r="T19" s="24">
        <f t="shared" si="10"/>
        <v>57.3375</v>
      </c>
      <c r="U19" s="6">
        <f t="shared" si="11"/>
        <v>1061.8375</v>
      </c>
      <c r="V19" s="31"/>
    </row>
    <row r="20">
      <c r="B20" s="27">
        <v>45986.0</v>
      </c>
      <c r="C20" s="17">
        <v>107.0</v>
      </c>
      <c r="D20" s="6"/>
      <c r="E20" s="6"/>
      <c r="F20" s="6"/>
      <c r="G20" s="17" t="s">
        <v>24</v>
      </c>
      <c r="H20" s="6"/>
      <c r="M20" s="15">
        <v>46008.0</v>
      </c>
      <c r="N20" s="11">
        <f t="shared" si="3"/>
        <v>2</v>
      </c>
      <c r="O20" s="11">
        <f t="shared" si="1"/>
        <v>0.1</v>
      </c>
      <c r="Q20" s="5" t="s">
        <v>31</v>
      </c>
      <c r="R20" s="6">
        <f t="shared" si="12"/>
        <v>764.5</v>
      </c>
      <c r="S20" s="6">
        <f>12*15*2</f>
        <v>360</v>
      </c>
      <c r="T20" s="24">
        <f t="shared" si="10"/>
        <v>57.3375</v>
      </c>
      <c r="U20" s="6">
        <f t="shared" si="11"/>
        <v>1181.8375</v>
      </c>
      <c r="V20" s="32"/>
    </row>
    <row r="21">
      <c r="B21" s="27">
        <v>45987.0</v>
      </c>
      <c r="C21" s="17">
        <v>107.0</v>
      </c>
      <c r="D21" s="6"/>
      <c r="E21" s="6"/>
      <c r="F21" s="6"/>
      <c r="G21" s="17" t="s">
        <v>24</v>
      </c>
      <c r="H21" s="6"/>
      <c r="M21" s="15">
        <v>46009.0</v>
      </c>
      <c r="N21" s="11">
        <f t="shared" si="3"/>
        <v>603</v>
      </c>
      <c r="O21" s="11">
        <f t="shared" si="1"/>
        <v>36.2</v>
      </c>
    </row>
    <row r="22">
      <c r="B22" s="27">
        <v>45989.0</v>
      </c>
      <c r="C22" s="17">
        <v>483.0</v>
      </c>
      <c r="D22" s="6"/>
      <c r="E22" s="6"/>
      <c r="F22" s="6"/>
      <c r="G22" s="17" t="s">
        <v>24</v>
      </c>
      <c r="H22" s="6"/>
      <c r="M22" s="15">
        <v>46010.0</v>
      </c>
      <c r="N22" s="11">
        <f t="shared" si="3"/>
        <v>579</v>
      </c>
      <c r="O22" s="11">
        <f t="shared" si="1"/>
        <v>34.7</v>
      </c>
      <c r="Q22" s="28"/>
      <c r="R22" s="28" t="s">
        <v>25</v>
      </c>
      <c r="S22" s="28" t="s">
        <v>19</v>
      </c>
      <c r="T22" s="29" t="s">
        <v>26</v>
      </c>
      <c r="U22" s="28" t="s">
        <v>27</v>
      </c>
      <c r="V22" s="33" t="s">
        <v>32</v>
      </c>
    </row>
    <row r="23">
      <c r="B23" s="27">
        <v>45991.0</v>
      </c>
      <c r="C23" s="17">
        <v>884.0</v>
      </c>
      <c r="D23" s="6"/>
      <c r="E23" s="6"/>
      <c r="F23" s="6"/>
      <c r="G23" s="17" t="s">
        <v>24</v>
      </c>
      <c r="H23" s="6"/>
      <c r="M23" s="15">
        <v>46011.0</v>
      </c>
      <c r="N23" s="11">
        <f t="shared" si="3"/>
        <v>754</v>
      </c>
      <c r="O23" s="11">
        <f t="shared" si="1"/>
        <v>45.2</v>
      </c>
      <c r="Q23" s="5" t="s">
        <v>29</v>
      </c>
      <c r="R23" s="6">
        <f>R14</f>
        <v>764</v>
      </c>
      <c r="S23" s="6">
        <f>6*15*2</f>
        <v>180</v>
      </c>
      <c r="T23" s="24">
        <f t="shared" ref="T23:T25" si="13">R23*0.075</f>
        <v>57.3</v>
      </c>
      <c r="U23" s="6">
        <f t="shared" ref="U23:U25" si="14">SUM(R23:T23)</f>
        <v>1001.3</v>
      </c>
      <c r="V23" s="31"/>
    </row>
    <row r="24">
      <c r="B24" s="27">
        <v>45992.0</v>
      </c>
      <c r="C24" s="17">
        <v>703.0</v>
      </c>
      <c r="D24" s="6">
        <f t="shared" ref="D24:D30" si="15">C24*0.07*0.8</f>
        <v>39.368</v>
      </c>
      <c r="E24" s="17">
        <v>16.0</v>
      </c>
      <c r="F24" s="6">
        <f t="shared" ref="F24:F30" si="16">round(SUMPRODUCT(C17:C23, SEQUENCE(7,1)) / SUM(SEQUENCE(7,1)),0)</f>
        <v>435</v>
      </c>
      <c r="G24" s="17" t="s">
        <v>24</v>
      </c>
      <c r="H24" s="6">
        <f t="shared" ref="H24:H30" si="17">D24+E24</f>
        <v>55.368</v>
      </c>
      <c r="M24" s="15">
        <v>46012.0</v>
      </c>
      <c r="N24" s="11">
        <f t="shared" si="3"/>
        <v>1538</v>
      </c>
      <c r="O24" s="11">
        <f t="shared" si="1"/>
        <v>92.3</v>
      </c>
      <c r="Q24" s="5" t="s">
        <v>30</v>
      </c>
      <c r="R24" s="6">
        <f t="shared" ref="R24:R25" si="18">R23</f>
        <v>764</v>
      </c>
      <c r="S24" s="6">
        <f>8*15*2</f>
        <v>240</v>
      </c>
      <c r="T24" s="24">
        <f t="shared" si="13"/>
        <v>57.3</v>
      </c>
      <c r="U24" s="6">
        <f t="shared" si="14"/>
        <v>1061.3</v>
      </c>
      <c r="V24" s="31"/>
    </row>
    <row r="25">
      <c r="B25" s="34">
        <v>45993.0</v>
      </c>
      <c r="C25" s="17">
        <v>711.0</v>
      </c>
      <c r="D25" s="6">
        <f t="shared" si="15"/>
        <v>39.816</v>
      </c>
      <c r="E25" s="17">
        <v>16.0</v>
      </c>
      <c r="F25" s="6">
        <f t="shared" si="16"/>
        <v>518</v>
      </c>
      <c r="G25" s="17" t="s">
        <v>24</v>
      </c>
      <c r="H25" s="6">
        <f t="shared" si="17"/>
        <v>55.816</v>
      </c>
      <c r="M25" s="15">
        <v>46013.0</v>
      </c>
      <c r="N25" s="11">
        <f t="shared" si="3"/>
        <v>1265</v>
      </c>
      <c r="O25" s="11">
        <f t="shared" si="1"/>
        <v>75.9</v>
      </c>
      <c r="Q25" s="5" t="s">
        <v>31</v>
      </c>
      <c r="R25" s="6">
        <f t="shared" si="18"/>
        <v>764</v>
      </c>
      <c r="S25" s="6">
        <f>12*15*2</f>
        <v>360</v>
      </c>
      <c r="T25" s="24">
        <f t="shared" si="13"/>
        <v>57.3</v>
      </c>
      <c r="U25" s="6">
        <f t="shared" si="14"/>
        <v>1181.3</v>
      </c>
      <c r="V25" s="32"/>
    </row>
    <row r="26">
      <c r="B26" s="34">
        <v>45994.0</v>
      </c>
      <c r="C26" s="17">
        <v>284.0</v>
      </c>
      <c r="D26" s="6">
        <f t="shared" si="15"/>
        <v>15.904</v>
      </c>
      <c r="E26" s="17">
        <v>16.0</v>
      </c>
      <c r="F26" s="6">
        <f t="shared" si="16"/>
        <v>592</v>
      </c>
      <c r="G26" s="17" t="s">
        <v>24</v>
      </c>
      <c r="H26" s="6">
        <f t="shared" si="17"/>
        <v>31.904</v>
      </c>
      <c r="M26" s="15">
        <v>46014.0</v>
      </c>
      <c r="N26" s="11">
        <f t="shared" si="3"/>
        <v>1661</v>
      </c>
      <c r="O26" s="11">
        <f t="shared" si="1"/>
        <v>99.7</v>
      </c>
    </row>
    <row r="27">
      <c r="B27" s="34">
        <v>45995.0</v>
      </c>
      <c r="C27" s="17">
        <v>427.0</v>
      </c>
      <c r="D27" s="6">
        <f t="shared" si="15"/>
        <v>23.912</v>
      </c>
      <c r="E27" s="17">
        <v>16.0</v>
      </c>
      <c r="F27" s="6">
        <f t="shared" si="16"/>
        <v>538</v>
      </c>
      <c r="G27" s="17" t="s">
        <v>24</v>
      </c>
      <c r="H27" s="6">
        <f t="shared" si="17"/>
        <v>39.912</v>
      </c>
      <c r="M27" s="15">
        <v>46015.0</v>
      </c>
      <c r="N27" s="11">
        <f t="shared" si="3"/>
        <v>491</v>
      </c>
      <c r="O27" s="11">
        <f t="shared" si="1"/>
        <v>29.5</v>
      </c>
    </row>
    <row r="28">
      <c r="B28" s="34">
        <v>45996.0</v>
      </c>
      <c r="C28" s="17">
        <v>321.0</v>
      </c>
      <c r="D28" s="6">
        <f t="shared" si="15"/>
        <v>17.976</v>
      </c>
      <c r="E28" s="17">
        <v>16.0</v>
      </c>
      <c r="F28" s="6">
        <f t="shared" si="16"/>
        <v>528</v>
      </c>
      <c r="G28" s="17" t="s">
        <v>24</v>
      </c>
      <c r="H28" s="6">
        <f t="shared" si="17"/>
        <v>33.976</v>
      </c>
      <c r="M28" s="15">
        <v>46016.0</v>
      </c>
      <c r="N28" s="11">
        <f t="shared" si="3"/>
        <v>734</v>
      </c>
      <c r="O28" s="11">
        <f t="shared" si="1"/>
        <v>44</v>
      </c>
    </row>
    <row r="29">
      <c r="B29" s="34">
        <v>45998.0</v>
      </c>
      <c r="C29" s="17">
        <v>244.0</v>
      </c>
      <c r="D29" s="6">
        <f t="shared" si="15"/>
        <v>13.664</v>
      </c>
      <c r="E29" s="17">
        <v>24.0</v>
      </c>
      <c r="F29" s="6">
        <f t="shared" si="16"/>
        <v>480</v>
      </c>
      <c r="G29" s="17" t="s">
        <v>24</v>
      </c>
      <c r="H29" s="6">
        <f t="shared" si="17"/>
        <v>37.664</v>
      </c>
      <c r="M29" s="15">
        <v>46017.0</v>
      </c>
      <c r="N29" s="11">
        <f t="shared" si="3"/>
        <v>1020</v>
      </c>
      <c r="O29" s="11">
        <f t="shared" si="1"/>
        <v>61.2</v>
      </c>
    </row>
    <row r="30">
      <c r="B30" s="34">
        <v>45999.0</v>
      </c>
      <c r="C30" s="17">
        <v>596.0</v>
      </c>
      <c r="D30" s="6">
        <f t="shared" si="15"/>
        <v>33.376</v>
      </c>
      <c r="E30" s="17">
        <v>16.0</v>
      </c>
      <c r="F30" s="6">
        <f t="shared" si="16"/>
        <v>405</v>
      </c>
      <c r="G30" s="17" t="s">
        <v>24</v>
      </c>
      <c r="H30" s="6">
        <f t="shared" si="17"/>
        <v>49.376</v>
      </c>
      <c r="M30" s="15">
        <v>46018.0</v>
      </c>
      <c r="N30" s="11">
        <f t="shared" si="3"/>
        <v>343</v>
      </c>
      <c r="O30" s="11">
        <f t="shared" si="1"/>
        <v>20.6</v>
      </c>
    </row>
    <row r="31">
      <c r="B31" s="34">
        <v>46000.0</v>
      </c>
      <c r="C31" s="35" t="s">
        <v>33</v>
      </c>
      <c r="D31" s="8"/>
      <c r="E31" s="8"/>
      <c r="F31" s="8"/>
      <c r="G31" s="8"/>
      <c r="H31" s="9"/>
      <c r="M31" s="15">
        <v>46019.0</v>
      </c>
      <c r="N31" s="11">
        <f t="shared" si="3"/>
        <v>453</v>
      </c>
      <c r="O31" s="11">
        <f t="shared" si="1"/>
        <v>27.2</v>
      </c>
    </row>
    <row r="32">
      <c r="B32" s="34">
        <v>46001.0</v>
      </c>
      <c r="C32" s="36"/>
      <c r="H32" s="37"/>
      <c r="M32" s="15">
        <v>46020.0</v>
      </c>
      <c r="N32" s="11">
        <f t="shared" si="3"/>
        <v>1031</v>
      </c>
      <c r="O32" s="11">
        <f t="shared" si="1"/>
        <v>61.9</v>
      </c>
    </row>
    <row r="33">
      <c r="B33" s="34">
        <v>46002.0</v>
      </c>
      <c r="C33" s="36"/>
      <c r="H33" s="37"/>
      <c r="M33" s="38">
        <v>46021.0</v>
      </c>
      <c r="N33" s="11">
        <f t="shared" si="3"/>
        <v>244</v>
      </c>
      <c r="O33" s="11">
        <f t="shared" si="1"/>
        <v>14.6</v>
      </c>
    </row>
    <row r="34">
      <c r="B34" s="34">
        <v>46003.0</v>
      </c>
      <c r="C34" s="36"/>
      <c r="H34" s="37"/>
      <c r="M34" s="39">
        <v>46022.0</v>
      </c>
      <c r="N34" s="11">
        <f t="shared" si="3"/>
        <v>369</v>
      </c>
      <c r="O34" s="11">
        <f t="shared" si="1"/>
        <v>22.1</v>
      </c>
    </row>
    <row r="35">
      <c r="B35" s="34">
        <v>46004.0</v>
      </c>
      <c r="C35" s="36"/>
      <c r="H35" s="37"/>
      <c r="M35" s="28" t="s">
        <v>27</v>
      </c>
      <c r="N35" s="6">
        <f t="shared" ref="N35:O35" si="19">sum(N4:N34)</f>
        <v>25474</v>
      </c>
      <c r="O35" s="6">
        <f t="shared" si="19"/>
        <v>1528.5</v>
      </c>
    </row>
    <row r="36">
      <c r="B36" s="34">
        <v>46005.0</v>
      </c>
      <c r="C36" s="36"/>
      <c r="H36" s="37"/>
    </row>
    <row r="37">
      <c r="B37" s="34">
        <v>46006.0</v>
      </c>
      <c r="C37" s="36"/>
      <c r="H37" s="37"/>
    </row>
    <row r="38">
      <c r="B38" s="34">
        <v>46007.0</v>
      </c>
      <c r="C38" s="12"/>
      <c r="D38" s="13"/>
      <c r="E38" s="13"/>
      <c r="F38" s="13"/>
      <c r="G38" s="13"/>
      <c r="H38" s="14"/>
    </row>
    <row r="39">
      <c r="B39" s="28" t="s">
        <v>27</v>
      </c>
      <c r="C39" s="6">
        <f t="shared" ref="C39:E39" si="20">sum(C24:C38)*15/7</f>
        <v>7041.428571</v>
      </c>
      <c r="D39" s="6">
        <f t="shared" si="20"/>
        <v>394.32</v>
      </c>
      <c r="E39" s="6">
        <f t="shared" si="20"/>
        <v>257.1428571</v>
      </c>
      <c r="F39" s="6"/>
      <c r="G39" s="17" t="s">
        <v>34</v>
      </c>
      <c r="H39" s="6">
        <f>sum(H24:H30)*15/7</f>
        <v>651.4628571</v>
      </c>
    </row>
    <row r="40">
      <c r="C40" s="40">
        <f>C39*0.8</f>
        <v>5633.142857</v>
      </c>
      <c r="G40" s="41" t="s">
        <v>26</v>
      </c>
      <c r="H40" s="17">
        <f>sum(D24:D30)*J17*7.5*15/7</f>
        <v>29.574</v>
      </c>
      <c r="I40" s="42">
        <f>H40/D39</f>
        <v>0.075</v>
      </c>
      <c r="J40" s="1"/>
    </row>
    <row r="41">
      <c r="C41" s="42">
        <f>H41/C40</f>
        <v>0.1208982045</v>
      </c>
      <c r="G41" s="17" t="s">
        <v>35</v>
      </c>
      <c r="H41" s="6">
        <f>H39+H40</f>
        <v>681.0368571</v>
      </c>
    </row>
    <row r="45">
      <c r="B45" s="5" t="s">
        <v>36</v>
      </c>
      <c r="C45" s="5" t="s">
        <v>1</v>
      </c>
      <c r="D45" s="5" t="s">
        <v>2</v>
      </c>
      <c r="E45" s="5" t="s">
        <v>19</v>
      </c>
      <c r="F45" s="5" t="s">
        <v>20</v>
      </c>
      <c r="G45" s="5" t="s">
        <v>21</v>
      </c>
      <c r="H45" s="5" t="s">
        <v>22</v>
      </c>
      <c r="J45" s="26" t="s">
        <v>23</v>
      </c>
    </row>
    <row r="46">
      <c r="B46" s="27">
        <v>45982.0</v>
      </c>
      <c r="C46" s="17">
        <v>468.0</v>
      </c>
      <c r="D46" s="6"/>
      <c r="E46" s="6"/>
      <c r="F46" s="6"/>
      <c r="G46" s="17" t="s">
        <v>24</v>
      </c>
      <c r="H46" s="6"/>
      <c r="J46" s="18">
        <v>0.01</v>
      </c>
    </row>
    <row r="47">
      <c r="B47" s="27">
        <v>45983.0</v>
      </c>
      <c r="C47" s="17">
        <v>71.0</v>
      </c>
      <c r="D47" s="6"/>
      <c r="E47" s="6"/>
      <c r="F47" s="6"/>
      <c r="G47" s="17" t="s">
        <v>24</v>
      </c>
      <c r="H47" s="6"/>
    </row>
    <row r="48">
      <c r="B48" s="27">
        <v>45988.0</v>
      </c>
      <c r="C48" s="17">
        <v>0.0</v>
      </c>
      <c r="D48" s="6"/>
      <c r="E48" s="6"/>
      <c r="F48" s="6"/>
      <c r="G48" s="17" t="s">
        <v>24</v>
      </c>
      <c r="H48" s="6"/>
    </row>
    <row r="49">
      <c r="B49" s="27">
        <v>45988.0</v>
      </c>
      <c r="C49" s="17">
        <v>1512.0</v>
      </c>
      <c r="D49" s="6"/>
      <c r="E49" s="6"/>
      <c r="F49" s="6"/>
      <c r="G49" s="17" t="s">
        <v>24</v>
      </c>
      <c r="H49" s="6"/>
    </row>
    <row r="50">
      <c r="B50" s="27">
        <v>45989.0</v>
      </c>
      <c r="C50" s="17">
        <v>250.0</v>
      </c>
      <c r="D50" s="6"/>
      <c r="E50" s="6"/>
      <c r="F50" s="6"/>
      <c r="G50" s="17" t="s">
        <v>24</v>
      </c>
      <c r="H50" s="6"/>
    </row>
    <row r="51">
      <c r="B51" s="27">
        <v>45990.0</v>
      </c>
      <c r="C51" s="17">
        <v>508.0</v>
      </c>
      <c r="D51" s="6"/>
      <c r="E51" s="6"/>
      <c r="F51" s="6"/>
      <c r="G51" s="17" t="s">
        <v>24</v>
      </c>
      <c r="H51" s="6"/>
    </row>
    <row r="52">
      <c r="B52" s="27">
        <v>45991.0</v>
      </c>
      <c r="C52" s="17">
        <v>1131.0</v>
      </c>
      <c r="D52" s="6"/>
      <c r="E52" s="6"/>
      <c r="F52" s="6"/>
      <c r="G52" s="17" t="s">
        <v>24</v>
      </c>
      <c r="H52" s="6"/>
    </row>
    <row r="53">
      <c r="B53" s="27">
        <v>45992.0</v>
      </c>
      <c r="C53" s="17">
        <v>581.0</v>
      </c>
      <c r="D53" s="6">
        <f t="shared" ref="D53:D59" si="21">C53*0.07*0.8</f>
        <v>32.536</v>
      </c>
      <c r="E53" s="17">
        <v>16.0</v>
      </c>
      <c r="F53" s="6">
        <f t="shared" ref="F53:F59" si="22">round(SUMPRODUCT(C46:C52, SEQUENCE(7,1)) / SUM(SEQUENCE(7,1)),0)</f>
        <v>674</v>
      </c>
      <c r="G53" s="17" t="s">
        <v>24</v>
      </c>
      <c r="H53" s="6">
        <f t="shared" ref="H53:H59" si="23">D53+E53</f>
        <v>48.536</v>
      </c>
    </row>
    <row r="54">
      <c r="B54" s="34">
        <v>45993.0</v>
      </c>
      <c r="C54" s="17">
        <v>719.0</v>
      </c>
      <c r="D54" s="6">
        <f t="shared" si="21"/>
        <v>40.264</v>
      </c>
      <c r="E54" s="17">
        <v>16.0</v>
      </c>
      <c r="F54" s="6">
        <f t="shared" si="22"/>
        <v>679</v>
      </c>
      <c r="G54" s="17" t="s">
        <v>24</v>
      </c>
      <c r="H54" s="6">
        <f t="shared" si="23"/>
        <v>56.264</v>
      </c>
    </row>
    <row r="55">
      <c r="B55" s="34">
        <v>45994.0</v>
      </c>
      <c r="C55" s="17">
        <v>293.0</v>
      </c>
      <c r="D55" s="6">
        <f t="shared" si="21"/>
        <v>16.408</v>
      </c>
      <c r="E55" s="17">
        <v>16.0</v>
      </c>
      <c r="F55" s="6">
        <f t="shared" si="22"/>
        <v>714</v>
      </c>
      <c r="G55" s="17" t="s">
        <v>24</v>
      </c>
      <c r="H55" s="6">
        <f t="shared" si="23"/>
        <v>32.408</v>
      </c>
    </row>
    <row r="56">
      <c r="B56" s="34">
        <v>45995.0</v>
      </c>
      <c r="C56" s="17">
        <v>895.0</v>
      </c>
      <c r="D56" s="6">
        <f t="shared" si="21"/>
        <v>50.12</v>
      </c>
      <c r="E56" s="17">
        <v>16.0</v>
      </c>
      <c r="F56" s="6">
        <f t="shared" si="22"/>
        <v>619</v>
      </c>
      <c r="G56" s="17" t="s">
        <v>24</v>
      </c>
      <c r="H56" s="6">
        <f t="shared" si="23"/>
        <v>66.12</v>
      </c>
    </row>
    <row r="57">
      <c r="B57" s="34">
        <v>45996.0</v>
      </c>
      <c r="C57" s="17">
        <v>463.0</v>
      </c>
      <c r="D57" s="6">
        <f t="shared" si="21"/>
        <v>25.928</v>
      </c>
      <c r="E57" s="17">
        <v>24.0</v>
      </c>
      <c r="F57" s="6">
        <f t="shared" si="22"/>
        <v>664</v>
      </c>
      <c r="G57" s="17" t="s">
        <v>24</v>
      </c>
      <c r="H57" s="6">
        <f t="shared" si="23"/>
        <v>49.928</v>
      </c>
    </row>
    <row r="58">
      <c r="B58" s="34">
        <v>45998.0</v>
      </c>
      <c r="C58" s="17">
        <v>571.0</v>
      </c>
      <c r="D58" s="6">
        <f t="shared" si="21"/>
        <v>31.976</v>
      </c>
      <c r="E58" s="17">
        <v>24.0</v>
      </c>
      <c r="F58" s="6">
        <f t="shared" si="22"/>
        <v>624</v>
      </c>
      <c r="G58" s="17" t="s">
        <v>24</v>
      </c>
      <c r="H58" s="6">
        <f t="shared" si="23"/>
        <v>55.976</v>
      </c>
    </row>
    <row r="59">
      <c r="B59" s="34">
        <v>45999.0</v>
      </c>
      <c r="C59" s="17">
        <v>636.0</v>
      </c>
      <c r="D59" s="6">
        <f t="shared" si="21"/>
        <v>35.616</v>
      </c>
      <c r="E59" s="17">
        <v>16.0</v>
      </c>
      <c r="F59" s="6">
        <f t="shared" si="22"/>
        <v>603</v>
      </c>
      <c r="G59" s="17" t="s">
        <v>24</v>
      </c>
      <c r="H59" s="6">
        <f t="shared" si="23"/>
        <v>51.616</v>
      </c>
    </row>
    <row r="60">
      <c r="B60" s="34">
        <v>46000.0</v>
      </c>
      <c r="C60" s="35" t="s">
        <v>33</v>
      </c>
      <c r="D60" s="8"/>
      <c r="E60" s="8"/>
      <c r="F60" s="8"/>
      <c r="G60" s="8"/>
      <c r="H60" s="9"/>
    </row>
    <row r="61">
      <c r="B61" s="34">
        <v>46001.0</v>
      </c>
      <c r="C61" s="36"/>
      <c r="H61" s="37"/>
    </row>
    <row r="62">
      <c r="B62" s="34">
        <v>46002.0</v>
      </c>
      <c r="C62" s="36"/>
      <c r="H62" s="37"/>
    </row>
    <row r="63">
      <c r="B63" s="34">
        <v>46003.0</v>
      </c>
      <c r="C63" s="36"/>
      <c r="H63" s="37"/>
    </row>
    <row r="64">
      <c r="B64" s="34">
        <v>46004.0</v>
      </c>
      <c r="C64" s="36"/>
      <c r="H64" s="37"/>
    </row>
    <row r="65">
      <c r="B65" s="34">
        <v>46005.0</v>
      </c>
      <c r="C65" s="36"/>
      <c r="H65" s="37"/>
    </row>
    <row r="66">
      <c r="B66" s="34">
        <v>46006.0</v>
      </c>
      <c r="C66" s="36"/>
      <c r="H66" s="37"/>
    </row>
    <row r="67">
      <c r="B67" s="34">
        <v>46007.0</v>
      </c>
      <c r="C67" s="12"/>
      <c r="D67" s="13"/>
      <c r="E67" s="13"/>
      <c r="F67" s="13"/>
      <c r="G67" s="13"/>
      <c r="H67" s="14"/>
    </row>
    <row r="68">
      <c r="B68" s="28" t="s">
        <v>27</v>
      </c>
      <c r="C68" s="6">
        <f t="shared" ref="C68:E68" si="24">sum(C53:C67)*15/7</f>
        <v>8910</v>
      </c>
      <c r="D68" s="6">
        <f t="shared" si="24"/>
        <v>498.96</v>
      </c>
      <c r="E68" s="6">
        <f t="shared" si="24"/>
        <v>274.2857143</v>
      </c>
      <c r="F68" s="6"/>
      <c r="G68" s="17" t="s">
        <v>34</v>
      </c>
      <c r="H68" s="6">
        <f>sum(H53:H59)*15/7</f>
        <v>773.2457143</v>
      </c>
    </row>
    <row r="69">
      <c r="G69" s="41" t="s">
        <v>26</v>
      </c>
      <c r="H69" s="17">
        <f>sum(D53:D59)*J46*7.5*15/7</f>
        <v>37.422</v>
      </c>
      <c r="I69" s="42">
        <f>H69/D68</f>
        <v>0.075</v>
      </c>
      <c r="J69" s="1"/>
    </row>
    <row r="70">
      <c r="G70" s="17" t="s">
        <v>35</v>
      </c>
      <c r="H70" s="6">
        <f>H68+H69</f>
        <v>810.6677143</v>
      </c>
      <c r="J70" s="21">
        <v>808.0</v>
      </c>
      <c r="L70" s="25">
        <f>J70/H70</f>
        <v>0.9967092383</v>
      </c>
    </row>
    <row r="71">
      <c r="B71" s="43"/>
      <c r="C71" s="40"/>
      <c r="D71" s="40"/>
      <c r="E71" s="40"/>
      <c r="F71" s="40"/>
      <c r="G71" s="40"/>
      <c r="H71" s="40"/>
    </row>
    <row r="72">
      <c r="B72" s="43"/>
      <c r="C72" s="40"/>
      <c r="D72" s="40"/>
      <c r="E72" s="40"/>
      <c r="F72" s="40"/>
      <c r="G72" s="40"/>
      <c r="H72" s="40"/>
    </row>
    <row r="73">
      <c r="B73" s="43"/>
      <c r="C73" s="40"/>
      <c r="D73" s="40"/>
      <c r="E73" s="40"/>
      <c r="F73" s="40"/>
      <c r="G73" s="40"/>
      <c r="H73" s="40"/>
    </row>
    <row r="74">
      <c r="B74" s="5" t="s">
        <v>37</v>
      </c>
      <c r="C74" s="5" t="s">
        <v>1</v>
      </c>
      <c r="D74" s="5" t="s">
        <v>2</v>
      </c>
      <c r="E74" s="5" t="s">
        <v>19</v>
      </c>
      <c r="F74" s="5" t="s">
        <v>20</v>
      </c>
      <c r="G74" s="5" t="s">
        <v>21</v>
      </c>
      <c r="H74" s="5" t="s">
        <v>22</v>
      </c>
      <c r="J74" s="26" t="s">
        <v>23</v>
      </c>
    </row>
    <row r="75">
      <c r="B75" s="27">
        <v>45984.0</v>
      </c>
      <c r="C75" s="17">
        <v>456.0</v>
      </c>
      <c r="D75" s="6"/>
      <c r="E75" s="6"/>
      <c r="F75" s="6"/>
      <c r="G75" s="17" t="s">
        <v>24</v>
      </c>
      <c r="H75" s="6"/>
      <c r="J75" s="18">
        <v>0.01</v>
      </c>
    </row>
    <row r="76">
      <c r="B76" s="27">
        <v>45985.0</v>
      </c>
      <c r="C76" s="17">
        <v>53.0</v>
      </c>
      <c r="D76" s="6"/>
      <c r="E76" s="6"/>
      <c r="F76" s="6"/>
      <c r="G76" s="17" t="s">
        <v>24</v>
      </c>
      <c r="H76" s="6"/>
    </row>
    <row r="77">
      <c r="B77" s="27">
        <v>45986.0</v>
      </c>
      <c r="C77" s="17">
        <v>160.0</v>
      </c>
      <c r="D77" s="6"/>
      <c r="E77" s="6"/>
      <c r="F77" s="6"/>
      <c r="G77" s="17" t="s">
        <v>24</v>
      </c>
      <c r="H77" s="6"/>
    </row>
    <row r="78">
      <c r="B78" s="27">
        <v>45987.0</v>
      </c>
      <c r="C78" s="17">
        <v>165.0</v>
      </c>
      <c r="D78" s="6"/>
      <c r="E78" s="6"/>
      <c r="F78" s="6"/>
      <c r="G78" s="17" t="s">
        <v>24</v>
      </c>
      <c r="H78" s="6"/>
    </row>
    <row r="79">
      <c r="B79" s="27">
        <v>45988.0</v>
      </c>
      <c r="C79" s="17">
        <v>37.0</v>
      </c>
      <c r="D79" s="6"/>
      <c r="E79" s="6"/>
      <c r="F79" s="6"/>
      <c r="G79" s="17" t="s">
        <v>24</v>
      </c>
      <c r="H79" s="6"/>
    </row>
    <row r="80">
      <c r="B80" s="27">
        <v>45989.0</v>
      </c>
      <c r="C80" s="17">
        <v>679.0</v>
      </c>
      <c r="D80" s="6"/>
      <c r="E80" s="6"/>
      <c r="F80" s="6"/>
      <c r="G80" s="17" t="s">
        <v>24</v>
      </c>
      <c r="H80" s="6"/>
    </row>
    <row r="81">
      <c r="B81" s="27">
        <v>45990.0</v>
      </c>
      <c r="C81" s="17">
        <v>279.0</v>
      </c>
      <c r="D81" s="6"/>
      <c r="E81" s="6"/>
      <c r="F81" s="6"/>
      <c r="G81" s="17" t="s">
        <v>24</v>
      </c>
      <c r="H81" s="6"/>
    </row>
    <row r="82">
      <c r="B82" s="27">
        <v>45992.0</v>
      </c>
      <c r="C82" s="17">
        <v>300.0</v>
      </c>
      <c r="D82" s="6">
        <f t="shared" ref="D82:D88" si="25">C82*0.07*0.8</f>
        <v>16.8</v>
      </c>
      <c r="E82" s="17">
        <v>16.0</v>
      </c>
      <c r="F82" s="6">
        <f t="shared" ref="F82:F88" si="26">round(SUMPRODUCT(C75:C81, SEQUENCE(7,1)) / SUM(SEQUENCE(7,1)),0)</f>
        <v>283</v>
      </c>
      <c r="G82" s="17" t="s">
        <v>24</v>
      </c>
      <c r="H82" s="6">
        <f t="shared" ref="H82:H88" si="27">D82+E82</f>
        <v>32.8</v>
      </c>
    </row>
    <row r="83">
      <c r="B83" s="34">
        <v>45993.0</v>
      </c>
      <c r="C83" s="17">
        <v>544.0</v>
      </c>
      <c r="D83" s="6">
        <f t="shared" si="25"/>
        <v>30.464</v>
      </c>
      <c r="E83" s="17">
        <v>16.0</v>
      </c>
      <c r="F83" s="6">
        <f t="shared" si="26"/>
        <v>292</v>
      </c>
      <c r="G83" s="17" t="s">
        <v>24</v>
      </c>
      <c r="H83" s="6">
        <f t="shared" si="27"/>
        <v>46.464</v>
      </c>
    </row>
    <row r="84">
      <c r="B84" s="34">
        <v>45994.0</v>
      </c>
      <c r="C84" s="17">
        <v>120.0</v>
      </c>
      <c r="D84" s="6">
        <f t="shared" si="25"/>
        <v>6.72</v>
      </c>
      <c r="E84" s="17">
        <v>16.0</v>
      </c>
      <c r="F84" s="6">
        <f t="shared" si="26"/>
        <v>369</v>
      </c>
      <c r="G84" s="17" t="s">
        <v>24</v>
      </c>
      <c r="H84" s="6">
        <f t="shared" si="27"/>
        <v>22.72</v>
      </c>
    </row>
    <row r="85">
      <c r="B85" s="34">
        <v>45995.0</v>
      </c>
      <c r="C85" s="17">
        <v>19.0</v>
      </c>
      <c r="D85" s="6">
        <f t="shared" si="25"/>
        <v>1.064</v>
      </c>
      <c r="E85" s="17">
        <v>16.0</v>
      </c>
      <c r="F85" s="6">
        <f t="shared" si="26"/>
        <v>321</v>
      </c>
      <c r="G85" s="17" t="s">
        <v>24</v>
      </c>
      <c r="H85" s="6">
        <f t="shared" si="27"/>
        <v>17.064</v>
      </c>
    </row>
    <row r="86">
      <c r="B86" s="34">
        <v>45996.0</v>
      </c>
      <c r="C86" s="17">
        <v>1098.0</v>
      </c>
      <c r="D86" s="6">
        <f t="shared" si="25"/>
        <v>61.488</v>
      </c>
      <c r="E86" s="17">
        <v>24.0</v>
      </c>
      <c r="F86" s="6">
        <f t="shared" si="26"/>
        <v>250</v>
      </c>
      <c r="G86" s="17" t="s">
        <v>24</v>
      </c>
      <c r="H86" s="6">
        <f t="shared" si="27"/>
        <v>85.488</v>
      </c>
    </row>
    <row r="87">
      <c r="B87" s="34">
        <v>45998.0</v>
      </c>
      <c r="C87" s="17">
        <v>606.0</v>
      </c>
      <c r="D87" s="6">
        <f t="shared" si="25"/>
        <v>33.936</v>
      </c>
      <c r="E87" s="17">
        <v>16.0</v>
      </c>
      <c r="F87" s="6">
        <f t="shared" si="26"/>
        <v>454</v>
      </c>
      <c r="G87" s="17" t="s">
        <v>24</v>
      </c>
      <c r="H87" s="6">
        <f t="shared" si="27"/>
        <v>49.936</v>
      </c>
    </row>
    <row r="88">
      <c r="B88" s="34">
        <v>45999.0</v>
      </c>
      <c r="C88" s="17"/>
      <c r="D88" s="6">
        <f t="shared" si="25"/>
        <v>0</v>
      </c>
      <c r="E88" s="17"/>
      <c r="F88" s="6">
        <f t="shared" si="26"/>
        <v>497</v>
      </c>
      <c r="G88" s="17" t="s">
        <v>24</v>
      </c>
      <c r="H88" s="6">
        <f t="shared" si="27"/>
        <v>0</v>
      </c>
    </row>
    <row r="89">
      <c r="B89" s="34">
        <v>46000.0</v>
      </c>
      <c r="C89" s="35" t="s">
        <v>33</v>
      </c>
      <c r="D89" s="8"/>
      <c r="E89" s="8"/>
      <c r="F89" s="8"/>
      <c r="G89" s="8"/>
      <c r="H89" s="9"/>
    </row>
    <row r="90">
      <c r="B90" s="34">
        <v>46001.0</v>
      </c>
      <c r="C90" s="36"/>
      <c r="H90" s="37"/>
    </row>
    <row r="91">
      <c r="B91" s="34">
        <v>46002.0</v>
      </c>
      <c r="C91" s="36"/>
      <c r="H91" s="37"/>
    </row>
    <row r="92">
      <c r="B92" s="34">
        <v>46003.0</v>
      </c>
      <c r="C92" s="36"/>
      <c r="H92" s="37"/>
    </row>
    <row r="93">
      <c r="B93" s="34">
        <v>46004.0</v>
      </c>
      <c r="C93" s="36"/>
      <c r="H93" s="37"/>
    </row>
    <row r="94">
      <c r="B94" s="34">
        <v>46005.0</v>
      </c>
      <c r="C94" s="36"/>
      <c r="H94" s="37"/>
    </row>
    <row r="95">
      <c r="B95" s="34">
        <v>46006.0</v>
      </c>
      <c r="C95" s="36"/>
      <c r="H95" s="37"/>
    </row>
    <row r="96">
      <c r="B96" s="34">
        <v>46007.0</v>
      </c>
      <c r="C96" s="12"/>
      <c r="D96" s="13"/>
      <c r="E96" s="13"/>
      <c r="F96" s="13"/>
      <c r="G96" s="13"/>
      <c r="H96" s="14"/>
    </row>
    <row r="97">
      <c r="B97" s="28" t="s">
        <v>27</v>
      </c>
      <c r="C97" s="6">
        <f t="shared" ref="C97:E97" si="28">sum(C82:C96)*15/6</f>
        <v>6717.5</v>
      </c>
      <c r="D97" s="6">
        <f t="shared" si="28"/>
        <v>376.18</v>
      </c>
      <c r="E97" s="6">
        <f t="shared" si="28"/>
        <v>260</v>
      </c>
      <c r="F97" s="6"/>
      <c r="G97" s="17" t="s">
        <v>34</v>
      </c>
      <c r="H97" s="6">
        <f>sum(H82:H88)*15/6</f>
        <v>636.18</v>
      </c>
    </row>
    <row r="98">
      <c r="G98" s="41" t="s">
        <v>26</v>
      </c>
      <c r="H98" s="17">
        <f>sum(D82:D88)*J75*7.5*15/6</f>
        <v>28.2135</v>
      </c>
      <c r="I98" s="42">
        <f>H98/D97</f>
        <v>0.075</v>
      </c>
      <c r="J98" s="1"/>
    </row>
    <row r="99">
      <c r="G99" s="17" t="s">
        <v>35</v>
      </c>
      <c r="H99" s="6">
        <f>H97+H98</f>
        <v>664.3935</v>
      </c>
    </row>
  </sheetData>
  <mergeCells count="7">
    <mergeCell ref="B4:E5"/>
    <mergeCell ref="G4:J5"/>
    <mergeCell ref="V17:V20"/>
    <mergeCell ref="V22:V25"/>
    <mergeCell ref="C31:H38"/>
    <mergeCell ref="C60:H67"/>
    <mergeCell ref="C89:H96"/>
  </mergeCells>
  <dataValidations>
    <dataValidation type="list" allowBlank="1" showErrorMessage="1" sqref="M3">
      <formula1>"Tier S,Tier A,Tier B,Tier C"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44">
        <v>45992.0</v>
      </c>
      <c r="C3" s="45">
        <f t="shared" ref="C3:C92" si="1">RANDBETWEEN(1667,3333)</f>
        <v>2040</v>
      </c>
    </row>
    <row r="4">
      <c r="B4" s="44">
        <v>45993.0</v>
      </c>
      <c r="C4" s="45">
        <f t="shared" si="1"/>
        <v>2570</v>
      </c>
    </row>
    <row r="5">
      <c r="B5" s="44">
        <v>45994.0</v>
      </c>
      <c r="C5" s="45">
        <f t="shared" si="1"/>
        <v>1841</v>
      </c>
    </row>
    <row r="6">
      <c r="B6" s="44">
        <v>45995.0</v>
      </c>
      <c r="C6" s="45">
        <f t="shared" si="1"/>
        <v>2349</v>
      </c>
    </row>
    <row r="7">
      <c r="B7" s="44">
        <v>45996.0</v>
      </c>
      <c r="C7" s="45">
        <f t="shared" si="1"/>
        <v>2263</v>
      </c>
    </row>
    <row r="8">
      <c r="B8" s="44">
        <v>45997.0</v>
      </c>
      <c r="C8" s="45">
        <f t="shared" si="1"/>
        <v>2506</v>
      </c>
    </row>
    <row r="9">
      <c r="B9" s="44">
        <v>45998.0</v>
      </c>
      <c r="C9" s="45">
        <f t="shared" si="1"/>
        <v>2432</v>
      </c>
    </row>
    <row r="10">
      <c r="B10" s="44">
        <v>45999.0</v>
      </c>
      <c r="C10" s="45">
        <f t="shared" si="1"/>
        <v>1862</v>
      </c>
    </row>
    <row r="11">
      <c r="B11" s="44">
        <v>46000.0</v>
      </c>
      <c r="C11" s="45">
        <f t="shared" si="1"/>
        <v>2536</v>
      </c>
    </row>
    <row r="12">
      <c r="B12" s="44">
        <v>46001.0</v>
      </c>
      <c r="C12" s="45">
        <f t="shared" si="1"/>
        <v>1968</v>
      </c>
    </row>
    <row r="13">
      <c r="B13" s="44">
        <v>46002.0</v>
      </c>
      <c r="C13" s="45">
        <f t="shared" si="1"/>
        <v>1969</v>
      </c>
    </row>
    <row r="14">
      <c r="B14" s="44">
        <v>46003.0</v>
      </c>
      <c r="C14" s="45">
        <f t="shared" si="1"/>
        <v>3212</v>
      </c>
    </row>
    <row r="15">
      <c r="B15" s="44">
        <v>46004.0</v>
      </c>
      <c r="C15" s="45">
        <f t="shared" si="1"/>
        <v>2248</v>
      </c>
    </row>
    <row r="16">
      <c r="B16" s="44">
        <v>46005.0</v>
      </c>
      <c r="C16" s="45">
        <f t="shared" si="1"/>
        <v>3122</v>
      </c>
    </row>
    <row r="17">
      <c r="B17" s="44">
        <v>46006.0</v>
      </c>
      <c r="C17" s="45">
        <f t="shared" si="1"/>
        <v>2424</v>
      </c>
    </row>
    <row r="18">
      <c r="B18" s="44">
        <v>46007.0</v>
      </c>
      <c r="C18" s="45">
        <f t="shared" si="1"/>
        <v>1704</v>
      </c>
    </row>
    <row r="19">
      <c r="B19" s="44">
        <v>46008.0</v>
      </c>
      <c r="C19" s="45">
        <f t="shared" si="1"/>
        <v>2355</v>
      </c>
    </row>
    <row r="20">
      <c r="B20" s="44">
        <v>46009.0</v>
      </c>
      <c r="C20" s="45">
        <f t="shared" si="1"/>
        <v>3297</v>
      </c>
    </row>
    <row r="21">
      <c r="B21" s="44">
        <v>46010.0</v>
      </c>
      <c r="C21" s="45">
        <f t="shared" si="1"/>
        <v>2852</v>
      </c>
    </row>
    <row r="22">
      <c r="B22" s="44">
        <v>46011.0</v>
      </c>
      <c r="C22" s="45">
        <f t="shared" si="1"/>
        <v>3163</v>
      </c>
    </row>
    <row r="23">
      <c r="B23" s="44">
        <v>46012.0</v>
      </c>
      <c r="C23" s="45">
        <f t="shared" si="1"/>
        <v>1925</v>
      </c>
    </row>
    <row r="24">
      <c r="B24" s="44">
        <v>46013.0</v>
      </c>
      <c r="C24" s="45">
        <f t="shared" si="1"/>
        <v>1976</v>
      </c>
    </row>
    <row r="25">
      <c r="B25" s="44">
        <v>46014.0</v>
      </c>
      <c r="C25" s="45">
        <f t="shared" si="1"/>
        <v>3095</v>
      </c>
    </row>
    <row r="26">
      <c r="B26" s="44">
        <v>46015.0</v>
      </c>
      <c r="C26" s="45">
        <f t="shared" si="1"/>
        <v>2824</v>
      </c>
    </row>
    <row r="27">
      <c r="B27" s="44">
        <v>46016.0</v>
      </c>
      <c r="C27" s="45">
        <f t="shared" si="1"/>
        <v>2086</v>
      </c>
    </row>
    <row r="28">
      <c r="B28" s="44">
        <v>46017.0</v>
      </c>
      <c r="C28" s="45">
        <f t="shared" si="1"/>
        <v>2402</v>
      </c>
    </row>
    <row r="29">
      <c r="B29" s="44">
        <v>46018.0</v>
      </c>
      <c r="C29" s="45">
        <f t="shared" si="1"/>
        <v>2878</v>
      </c>
    </row>
    <row r="30">
      <c r="B30" s="44">
        <v>46019.0</v>
      </c>
      <c r="C30" s="45">
        <f t="shared" si="1"/>
        <v>2166</v>
      </c>
    </row>
    <row r="31">
      <c r="B31" s="44">
        <v>46020.0</v>
      </c>
      <c r="C31" s="45">
        <f t="shared" si="1"/>
        <v>3302</v>
      </c>
    </row>
    <row r="32">
      <c r="B32" s="44">
        <v>46021.0</v>
      </c>
      <c r="C32" s="45">
        <f t="shared" si="1"/>
        <v>2306</v>
      </c>
    </row>
    <row r="33">
      <c r="B33" s="46">
        <v>46022.0</v>
      </c>
      <c r="C33" s="45">
        <f t="shared" si="1"/>
        <v>2114</v>
      </c>
      <c r="D33" s="47" t="s">
        <v>25</v>
      </c>
      <c r="E33" s="48" t="s">
        <v>38</v>
      </c>
      <c r="F33" s="48" t="s">
        <v>39</v>
      </c>
      <c r="G33" s="22"/>
      <c r="H33" s="49"/>
      <c r="I33" s="50" t="s">
        <v>20</v>
      </c>
      <c r="J33" s="50" t="s">
        <v>40</v>
      </c>
      <c r="K33" s="50" t="s">
        <v>41</v>
      </c>
    </row>
    <row r="34">
      <c r="B34" s="51">
        <v>45658.0</v>
      </c>
      <c r="C34" s="45">
        <f t="shared" si="1"/>
        <v>2334</v>
      </c>
      <c r="D34" s="52">
        <f t="shared" ref="D34:D92" si="2">C34*0.05</f>
        <v>116.7</v>
      </c>
      <c r="E34" s="52" t="str">
        <f t="shared" ref="E34:E92" si="3">IF(C34&gt;I34,"yes","no")</f>
        <v>no</v>
      </c>
      <c r="F34" s="53" t="str">
        <f t="shared" ref="F34:F92" si="4">if(C34&gt;J34,"yes","no")</f>
        <v>no</v>
      </c>
      <c r="I34" s="45">
        <f t="shared" ref="I34:I92" si="5">round(SUMPRODUCT(C27:C33, SEQUENCE(7,1)) / SUM(SEQUENCE(7,1)),0)</f>
        <v>2476</v>
      </c>
      <c r="J34" s="45">
        <f t="shared" ref="J34:J92" si="6">round(AVERAGE(C27:C33),0)</f>
        <v>2465</v>
      </c>
      <c r="K34" s="45" t="str">
        <f t="shared" ref="K34:K92" si="7">IF(I34&gt;J34,"Rolling","Standard")</f>
        <v>Rolling</v>
      </c>
    </row>
    <row r="35">
      <c r="B35" s="54">
        <v>45659.0</v>
      </c>
      <c r="C35" s="45">
        <f t="shared" si="1"/>
        <v>2258</v>
      </c>
      <c r="D35" s="52">
        <f t="shared" si="2"/>
        <v>112.9</v>
      </c>
      <c r="E35" s="45" t="str">
        <f t="shared" si="3"/>
        <v>no</v>
      </c>
      <c r="F35" s="55" t="str">
        <f t="shared" si="4"/>
        <v>no</v>
      </c>
      <c r="I35" s="45">
        <f t="shared" si="5"/>
        <v>2443</v>
      </c>
      <c r="J35" s="45">
        <f t="shared" si="6"/>
        <v>2500</v>
      </c>
      <c r="K35" s="45" t="str">
        <f t="shared" si="7"/>
        <v>Standard</v>
      </c>
    </row>
    <row r="36">
      <c r="B36" s="54">
        <v>45660.0</v>
      </c>
      <c r="C36" s="45">
        <f t="shared" si="1"/>
        <v>3160</v>
      </c>
      <c r="D36" s="52">
        <f t="shared" si="2"/>
        <v>158</v>
      </c>
      <c r="E36" s="45" t="str">
        <f t="shared" si="3"/>
        <v>yes</v>
      </c>
      <c r="F36" s="55" t="str">
        <f t="shared" si="4"/>
        <v>yes</v>
      </c>
      <c r="I36" s="45">
        <f t="shared" si="5"/>
        <v>2383</v>
      </c>
      <c r="J36" s="45">
        <f t="shared" si="6"/>
        <v>2480</v>
      </c>
      <c r="K36" s="45" t="str">
        <f t="shared" si="7"/>
        <v>Standard</v>
      </c>
    </row>
    <row r="37">
      <c r="B37" s="54">
        <v>45661.0</v>
      </c>
      <c r="C37" s="45">
        <f t="shared" si="1"/>
        <v>2480</v>
      </c>
      <c r="D37" s="52">
        <f t="shared" si="2"/>
        <v>124</v>
      </c>
      <c r="E37" s="45" t="str">
        <f t="shared" si="3"/>
        <v>no</v>
      </c>
      <c r="F37" s="55" t="str">
        <f t="shared" si="4"/>
        <v>no</v>
      </c>
      <c r="I37" s="45">
        <f t="shared" si="5"/>
        <v>2553</v>
      </c>
      <c r="J37" s="45">
        <f t="shared" si="6"/>
        <v>2520</v>
      </c>
      <c r="K37" s="45" t="str">
        <f t="shared" si="7"/>
        <v>Rolling</v>
      </c>
    </row>
    <row r="38">
      <c r="B38" s="54">
        <v>45662.0</v>
      </c>
      <c r="C38" s="45">
        <f t="shared" si="1"/>
        <v>1939</v>
      </c>
      <c r="D38" s="52">
        <f t="shared" si="2"/>
        <v>96.95</v>
      </c>
      <c r="E38" s="45" t="str">
        <f t="shared" si="3"/>
        <v>no</v>
      </c>
      <c r="F38" s="55" t="str">
        <f t="shared" si="4"/>
        <v>no</v>
      </c>
      <c r="I38" s="45">
        <f t="shared" si="5"/>
        <v>2543</v>
      </c>
      <c r="J38" s="45">
        <f t="shared" si="6"/>
        <v>2565</v>
      </c>
      <c r="K38" s="45" t="str">
        <f t="shared" si="7"/>
        <v>Standard</v>
      </c>
    </row>
    <row r="39">
      <c r="B39" s="54">
        <v>45663.0</v>
      </c>
      <c r="C39" s="45">
        <f t="shared" si="1"/>
        <v>3192</v>
      </c>
      <c r="D39" s="52">
        <f t="shared" si="2"/>
        <v>159.6</v>
      </c>
      <c r="E39" s="45" t="str">
        <f t="shared" si="3"/>
        <v>yes</v>
      </c>
      <c r="F39" s="55" t="str">
        <f t="shared" si="4"/>
        <v>yes</v>
      </c>
      <c r="I39" s="45">
        <f t="shared" si="5"/>
        <v>2386</v>
      </c>
      <c r="J39" s="45">
        <f t="shared" si="6"/>
        <v>2370</v>
      </c>
      <c r="K39" s="45" t="str">
        <f t="shared" si="7"/>
        <v>Rolling</v>
      </c>
    </row>
    <row r="40">
      <c r="B40" s="54">
        <v>45664.0</v>
      </c>
      <c r="C40" s="45">
        <f t="shared" si="1"/>
        <v>2671</v>
      </c>
      <c r="D40" s="52">
        <f t="shared" si="2"/>
        <v>133.55</v>
      </c>
      <c r="E40" s="45" t="str">
        <f t="shared" si="3"/>
        <v>yes</v>
      </c>
      <c r="F40" s="55" t="str">
        <f t="shared" si="4"/>
        <v>yes</v>
      </c>
      <c r="I40" s="45">
        <f t="shared" si="5"/>
        <v>2592</v>
      </c>
      <c r="J40" s="45">
        <f t="shared" si="6"/>
        <v>2497</v>
      </c>
      <c r="K40" s="45" t="str">
        <f t="shared" si="7"/>
        <v>Rolling</v>
      </c>
    </row>
    <row r="41">
      <c r="B41" s="54">
        <v>45665.0</v>
      </c>
      <c r="C41" s="45">
        <f t="shared" si="1"/>
        <v>1925</v>
      </c>
      <c r="D41" s="52">
        <f t="shared" si="2"/>
        <v>96.25</v>
      </c>
      <c r="E41" s="45" t="str">
        <f t="shared" si="3"/>
        <v>no</v>
      </c>
      <c r="F41" s="55" t="str">
        <f t="shared" si="4"/>
        <v>no</v>
      </c>
      <c r="I41" s="45">
        <f t="shared" si="5"/>
        <v>2636</v>
      </c>
      <c r="J41" s="45">
        <f t="shared" si="6"/>
        <v>2576</v>
      </c>
      <c r="K41" s="45" t="str">
        <f t="shared" si="7"/>
        <v>Rolling</v>
      </c>
    </row>
    <row r="42">
      <c r="B42" s="54">
        <v>45666.0</v>
      </c>
      <c r="C42" s="45">
        <f t="shared" si="1"/>
        <v>2129</v>
      </c>
      <c r="D42" s="52">
        <f t="shared" si="2"/>
        <v>106.45</v>
      </c>
      <c r="E42" s="45" t="str">
        <f t="shared" si="3"/>
        <v>no</v>
      </c>
      <c r="F42" s="55" t="str">
        <f t="shared" si="4"/>
        <v>no</v>
      </c>
      <c r="I42" s="45">
        <f t="shared" si="5"/>
        <v>2473</v>
      </c>
      <c r="J42" s="45">
        <f t="shared" si="6"/>
        <v>2518</v>
      </c>
      <c r="K42" s="45" t="str">
        <f t="shared" si="7"/>
        <v>Standard</v>
      </c>
    </row>
    <row r="43">
      <c r="B43" s="54">
        <v>45667.0</v>
      </c>
      <c r="C43" s="45">
        <f t="shared" si="1"/>
        <v>1911</v>
      </c>
      <c r="D43" s="52">
        <f t="shared" si="2"/>
        <v>95.55</v>
      </c>
      <c r="E43" s="45" t="str">
        <f t="shared" si="3"/>
        <v>no</v>
      </c>
      <c r="F43" s="55" t="str">
        <f t="shared" si="4"/>
        <v>no</v>
      </c>
      <c r="I43" s="45">
        <f t="shared" si="5"/>
        <v>2375</v>
      </c>
      <c r="J43" s="45">
        <f t="shared" si="6"/>
        <v>2499</v>
      </c>
      <c r="K43" s="45" t="str">
        <f t="shared" si="7"/>
        <v>Standard</v>
      </c>
    </row>
    <row r="44">
      <c r="B44" s="54">
        <v>45668.0</v>
      </c>
      <c r="C44" s="45">
        <f t="shared" si="1"/>
        <v>2306</v>
      </c>
      <c r="D44" s="52">
        <f t="shared" si="2"/>
        <v>115.3</v>
      </c>
      <c r="E44" s="45" t="str">
        <f t="shared" si="3"/>
        <v>yes</v>
      </c>
      <c r="F44" s="55" t="str">
        <f t="shared" si="4"/>
        <v>no</v>
      </c>
      <c r="I44" s="45">
        <f t="shared" si="5"/>
        <v>2228</v>
      </c>
      <c r="J44" s="45">
        <f t="shared" si="6"/>
        <v>2321</v>
      </c>
      <c r="K44" s="45" t="str">
        <f t="shared" si="7"/>
        <v>Standard</v>
      </c>
    </row>
    <row r="45">
      <c r="B45" s="54">
        <v>45669.0</v>
      </c>
      <c r="C45" s="45">
        <f t="shared" si="1"/>
        <v>2704</v>
      </c>
      <c r="D45" s="52">
        <f t="shared" si="2"/>
        <v>135.2</v>
      </c>
      <c r="E45" s="45" t="str">
        <f t="shared" si="3"/>
        <v>yes</v>
      </c>
      <c r="F45" s="55" t="str">
        <f t="shared" si="4"/>
        <v>yes</v>
      </c>
      <c r="I45" s="45">
        <f t="shared" si="5"/>
        <v>2225</v>
      </c>
      <c r="J45" s="45">
        <f t="shared" si="6"/>
        <v>2296</v>
      </c>
      <c r="K45" s="45" t="str">
        <f t="shared" si="7"/>
        <v>Standard</v>
      </c>
    </row>
    <row r="46">
      <c r="B46" s="54">
        <v>45670.0</v>
      </c>
      <c r="C46" s="45">
        <f t="shared" si="1"/>
        <v>3083</v>
      </c>
      <c r="D46" s="52">
        <f t="shared" si="2"/>
        <v>154.15</v>
      </c>
      <c r="E46" s="45" t="str">
        <f t="shared" si="3"/>
        <v>yes</v>
      </c>
      <c r="F46" s="55" t="str">
        <f t="shared" si="4"/>
        <v>yes</v>
      </c>
      <c r="I46" s="45">
        <f t="shared" si="5"/>
        <v>2327</v>
      </c>
      <c r="J46" s="45">
        <f t="shared" si="6"/>
        <v>2405</v>
      </c>
      <c r="K46" s="45" t="str">
        <f t="shared" si="7"/>
        <v>Standard</v>
      </c>
    </row>
    <row r="47">
      <c r="B47" s="54">
        <v>45671.0</v>
      </c>
      <c r="C47" s="45">
        <f t="shared" si="1"/>
        <v>2290</v>
      </c>
      <c r="D47" s="52">
        <f t="shared" si="2"/>
        <v>114.5</v>
      </c>
      <c r="E47" s="45" t="str">
        <f t="shared" si="3"/>
        <v>no</v>
      </c>
      <c r="F47" s="55" t="str">
        <f t="shared" si="4"/>
        <v>no</v>
      </c>
      <c r="I47" s="45">
        <f t="shared" si="5"/>
        <v>2496</v>
      </c>
      <c r="J47" s="45">
        <f t="shared" si="6"/>
        <v>2390</v>
      </c>
      <c r="K47" s="45" t="str">
        <f t="shared" si="7"/>
        <v>Rolling</v>
      </c>
    </row>
    <row r="48">
      <c r="B48" s="56">
        <v>45672.0</v>
      </c>
      <c r="C48" s="45">
        <f t="shared" si="1"/>
        <v>2451</v>
      </c>
      <c r="D48" s="52">
        <f t="shared" si="2"/>
        <v>122.55</v>
      </c>
      <c r="E48" s="45" t="str">
        <f t="shared" si="3"/>
        <v>no</v>
      </c>
      <c r="F48" s="55" t="str">
        <f t="shared" si="4"/>
        <v>yes</v>
      </c>
      <c r="I48" s="45">
        <f t="shared" si="5"/>
        <v>2471</v>
      </c>
      <c r="J48" s="45">
        <f t="shared" si="6"/>
        <v>2335</v>
      </c>
      <c r="K48" s="45" t="str">
        <f t="shared" si="7"/>
        <v>Rolling</v>
      </c>
    </row>
    <row r="49">
      <c r="B49" s="56">
        <v>45673.0</v>
      </c>
      <c r="C49" s="45">
        <f t="shared" si="1"/>
        <v>3151</v>
      </c>
      <c r="D49" s="52">
        <f t="shared" si="2"/>
        <v>157.55</v>
      </c>
      <c r="E49" s="45" t="str">
        <f t="shared" si="3"/>
        <v>yes</v>
      </c>
      <c r="F49" s="55" t="str">
        <f t="shared" si="4"/>
        <v>yes</v>
      </c>
      <c r="I49" s="45">
        <f t="shared" si="5"/>
        <v>2500</v>
      </c>
      <c r="J49" s="45">
        <f t="shared" si="6"/>
        <v>2411</v>
      </c>
      <c r="K49" s="45" t="str">
        <f t="shared" si="7"/>
        <v>Rolling</v>
      </c>
    </row>
    <row r="50">
      <c r="B50" s="56">
        <v>45674.0</v>
      </c>
      <c r="C50" s="45">
        <f t="shared" si="1"/>
        <v>1743</v>
      </c>
      <c r="D50" s="52">
        <f t="shared" si="2"/>
        <v>87.15</v>
      </c>
      <c r="E50" s="45" t="str">
        <f t="shared" si="3"/>
        <v>no</v>
      </c>
      <c r="F50" s="55" t="str">
        <f t="shared" si="4"/>
        <v>no</v>
      </c>
      <c r="I50" s="45">
        <f t="shared" si="5"/>
        <v>2685</v>
      </c>
      <c r="J50" s="45">
        <f t="shared" si="6"/>
        <v>2557</v>
      </c>
      <c r="K50" s="45" t="str">
        <f t="shared" si="7"/>
        <v>Rolling</v>
      </c>
    </row>
    <row r="51">
      <c r="B51" s="56">
        <v>45675.0</v>
      </c>
      <c r="C51" s="45">
        <f t="shared" si="1"/>
        <v>3129</v>
      </c>
      <c r="D51" s="52">
        <f t="shared" si="2"/>
        <v>156.45</v>
      </c>
      <c r="E51" s="45" t="str">
        <f t="shared" si="3"/>
        <v>yes</v>
      </c>
      <c r="F51" s="55" t="str">
        <f t="shared" si="4"/>
        <v>yes</v>
      </c>
      <c r="I51" s="45">
        <f t="shared" si="5"/>
        <v>2482</v>
      </c>
      <c r="J51" s="45">
        <f t="shared" si="6"/>
        <v>2533</v>
      </c>
      <c r="K51" s="45" t="str">
        <f t="shared" si="7"/>
        <v>Standard</v>
      </c>
    </row>
    <row r="52">
      <c r="B52" s="56">
        <v>45676.0</v>
      </c>
      <c r="C52" s="45">
        <f t="shared" si="1"/>
        <v>2117</v>
      </c>
      <c r="D52" s="52">
        <f t="shared" si="2"/>
        <v>105.85</v>
      </c>
      <c r="E52" s="45" t="str">
        <f t="shared" si="3"/>
        <v>no</v>
      </c>
      <c r="F52" s="55" t="str">
        <f t="shared" si="4"/>
        <v>no</v>
      </c>
      <c r="I52" s="45">
        <f t="shared" si="5"/>
        <v>2631</v>
      </c>
      <c r="J52" s="45">
        <f t="shared" si="6"/>
        <v>2650</v>
      </c>
      <c r="K52" s="45" t="str">
        <f t="shared" si="7"/>
        <v>Standard</v>
      </c>
    </row>
    <row r="53">
      <c r="B53" s="56">
        <v>45677.0</v>
      </c>
      <c r="C53" s="45">
        <f t="shared" si="1"/>
        <v>2049</v>
      </c>
      <c r="D53" s="52">
        <f t="shared" si="2"/>
        <v>102.45</v>
      </c>
      <c r="E53" s="45" t="str">
        <f t="shared" si="3"/>
        <v>no</v>
      </c>
      <c r="F53" s="55" t="str">
        <f t="shared" si="4"/>
        <v>no</v>
      </c>
      <c r="I53" s="45">
        <f t="shared" si="5"/>
        <v>2497</v>
      </c>
      <c r="J53" s="45">
        <f t="shared" si="6"/>
        <v>2566</v>
      </c>
      <c r="K53" s="45" t="str">
        <f t="shared" si="7"/>
        <v>Standard</v>
      </c>
    </row>
    <row r="54">
      <c r="B54" s="56">
        <v>45678.0</v>
      </c>
      <c r="C54" s="45">
        <f t="shared" si="1"/>
        <v>2390</v>
      </c>
      <c r="D54" s="52">
        <f t="shared" si="2"/>
        <v>119.5</v>
      </c>
      <c r="E54" s="45" t="str">
        <f t="shared" si="3"/>
        <v>yes</v>
      </c>
      <c r="F54" s="55" t="str">
        <f t="shared" si="4"/>
        <v>no</v>
      </c>
      <c r="I54" s="45">
        <f t="shared" si="5"/>
        <v>2368</v>
      </c>
      <c r="J54" s="45">
        <f t="shared" si="6"/>
        <v>2419</v>
      </c>
      <c r="K54" s="45" t="str">
        <f t="shared" si="7"/>
        <v>Standard</v>
      </c>
    </row>
    <row r="55">
      <c r="B55" s="56">
        <v>45679.0</v>
      </c>
      <c r="C55" s="45">
        <f t="shared" si="1"/>
        <v>2863</v>
      </c>
      <c r="D55" s="52">
        <f t="shared" si="2"/>
        <v>143.15</v>
      </c>
      <c r="E55" s="45" t="str">
        <f t="shared" si="3"/>
        <v>yes</v>
      </c>
      <c r="F55" s="55" t="str">
        <f t="shared" si="4"/>
        <v>yes</v>
      </c>
      <c r="I55" s="45">
        <f t="shared" si="5"/>
        <v>2361</v>
      </c>
      <c r="J55" s="45">
        <f t="shared" si="6"/>
        <v>2433</v>
      </c>
      <c r="K55" s="45" t="str">
        <f t="shared" si="7"/>
        <v>Standard</v>
      </c>
    </row>
    <row r="56">
      <c r="B56" s="56">
        <v>45680.0</v>
      </c>
      <c r="C56" s="45">
        <f t="shared" si="1"/>
        <v>3063</v>
      </c>
      <c r="D56" s="52">
        <f t="shared" si="2"/>
        <v>153.15</v>
      </c>
      <c r="E56" s="45" t="str">
        <f t="shared" si="3"/>
        <v>yes</v>
      </c>
      <c r="F56" s="55" t="str">
        <f t="shared" si="4"/>
        <v>yes</v>
      </c>
      <c r="I56" s="45">
        <f t="shared" si="5"/>
        <v>2469</v>
      </c>
      <c r="J56" s="45">
        <f t="shared" si="6"/>
        <v>2492</v>
      </c>
      <c r="K56" s="45" t="str">
        <f t="shared" si="7"/>
        <v>Standard</v>
      </c>
    </row>
    <row r="57">
      <c r="B57" s="56">
        <v>45681.0</v>
      </c>
      <c r="C57" s="45">
        <f t="shared" si="1"/>
        <v>2066</v>
      </c>
      <c r="D57" s="52">
        <f t="shared" si="2"/>
        <v>103.3</v>
      </c>
      <c r="E57" s="45" t="str">
        <f t="shared" si="3"/>
        <v>no</v>
      </c>
      <c r="F57" s="55" t="str">
        <f t="shared" si="4"/>
        <v>no</v>
      </c>
      <c r="I57" s="45">
        <f t="shared" si="5"/>
        <v>2611</v>
      </c>
      <c r="J57" s="45">
        <f t="shared" si="6"/>
        <v>2479</v>
      </c>
      <c r="K57" s="45" t="str">
        <f t="shared" si="7"/>
        <v>Rolling</v>
      </c>
    </row>
    <row r="58">
      <c r="B58" s="56">
        <v>45682.0</v>
      </c>
      <c r="C58" s="45">
        <f t="shared" si="1"/>
        <v>2830</v>
      </c>
      <c r="D58" s="52">
        <f t="shared" si="2"/>
        <v>141.5</v>
      </c>
      <c r="E58" s="45" t="str">
        <f t="shared" si="3"/>
        <v>yes</v>
      </c>
      <c r="F58" s="55" t="str">
        <f t="shared" si="4"/>
        <v>yes</v>
      </c>
      <c r="I58" s="45">
        <f t="shared" si="5"/>
        <v>2508</v>
      </c>
      <c r="J58" s="45">
        <f t="shared" si="6"/>
        <v>2525</v>
      </c>
      <c r="K58" s="45" t="str">
        <f t="shared" si="7"/>
        <v>Standard</v>
      </c>
    </row>
    <row r="59">
      <c r="B59" s="56">
        <v>45683.0</v>
      </c>
      <c r="C59" s="45">
        <f t="shared" si="1"/>
        <v>2342</v>
      </c>
      <c r="D59" s="52">
        <f t="shared" si="2"/>
        <v>117.1</v>
      </c>
      <c r="E59" s="45" t="str">
        <f t="shared" si="3"/>
        <v>no</v>
      </c>
      <c r="F59" s="55" t="str">
        <f t="shared" si="4"/>
        <v>no</v>
      </c>
      <c r="I59" s="45">
        <f t="shared" si="5"/>
        <v>2584</v>
      </c>
      <c r="J59" s="45">
        <f t="shared" si="6"/>
        <v>2483</v>
      </c>
      <c r="K59" s="45" t="str">
        <f t="shared" si="7"/>
        <v>Rolling</v>
      </c>
    </row>
    <row r="60">
      <c r="B60" s="56">
        <v>45684.0</v>
      </c>
      <c r="C60" s="45">
        <f t="shared" si="1"/>
        <v>3050</v>
      </c>
      <c r="D60" s="52">
        <f t="shared" si="2"/>
        <v>152.5</v>
      </c>
      <c r="E60" s="45" t="str">
        <f t="shared" si="3"/>
        <v>yes</v>
      </c>
      <c r="F60" s="55" t="str">
        <f t="shared" si="4"/>
        <v>yes</v>
      </c>
      <c r="I60" s="45">
        <f t="shared" si="5"/>
        <v>2549</v>
      </c>
      <c r="J60" s="45">
        <f t="shared" si="6"/>
        <v>2515</v>
      </c>
      <c r="K60" s="45" t="str">
        <f t="shared" si="7"/>
        <v>Rolling</v>
      </c>
    </row>
    <row r="61">
      <c r="B61" s="57">
        <v>45685.0</v>
      </c>
      <c r="C61" s="45">
        <f t="shared" si="1"/>
        <v>2059</v>
      </c>
      <c r="D61" s="52">
        <f t="shared" si="2"/>
        <v>102.95</v>
      </c>
      <c r="E61" s="45" t="str">
        <f t="shared" si="3"/>
        <v>no</v>
      </c>
      <c r="F61" s="55" t="str">
        <f t="shared" si="4"/>
        <v>no</v>
      </c>
      <c r="I61" s="45">
        <f t="shared" si="5"/>
        <v>2683</v>
      </c>
      <c r="J61" s="45">
        <f t="shared" si="6"/>
        <v>2658</v>
      </c>
      <c r="K61" s="45" t="str">
        <f t="shared" si="7"/>
        <v>Rolling</v>
      </c>
    </row>
    <row r="62">
      <c r="B62" s="57">
        <v>45686.0</v>
      </c>
      <c r="C62" s="45">
        <f t="shared" si="1"/>
        <v>2933</v>
      </c>
      <c r="D62" s="52">
        <f t="shared" si="2"/>
        <v>146.65</v>
      </c>
      <c r="E62" s="45" t="str">
        <f t="shared" si="3"/>
        <v>yes</v>
      </c>
      <c r="F62" s="55" t="str">
        <f t="shared" si="4"/>
        <v>yes</v>
      </c>
      <c r="I62" s="45">
        <f t="shared" si="5"/>
        <v>2533</v>
      </c>
      <c r="J62" s="45">
        <f t="shared" si="6"/>
        <v>2610</v>
      </c>
      <c r="K62" s="45" t="str">
        <f t="shared" si="7"/>
        <v>Standard</v>
      </c>
    </row>
    <row r="63">
      <c r="B63" s="57">
        <v>45687.0</v>
      </c>
      <c r="C63" s="45">
        <f t="shared" si="1"/>
        <v>1893</v>
      </c>
      <c r="D63" s="52">
        <f t="shared" si="2"/>
        <v>94.65</v>
      </c>
      <c r="E63" s="45" t="str">
        <f t="shared" si="3"/>
        <v>no</v>
      </c>
      <c r="F63" s="55" t="str">
        <f t="shared" si="4"/>
        <v>no</v>
      </c>
      <c r="I63" s="45">
        <f t="shared" si="5"/>
        <v>2614</v>
      </c>
      <c r="J63" s="45">
        <f t="shared" si="6"/>
        <v>2620</v>
      </c>
      <c r="K63" s="45" t="str">
        <f t="shared" si="7"/>
        <v>Standard</v>
      </c>
    </row>
    <row r="64">
      <c r="B64" s="58">
        <v>45688.0</v>
      </c>
      <c r="C64" s="45">
        <f t="shared" si="1"/>
        <v>3082</v>
      </c>
      <c r="D64" s="52">
        <f t="shared" si="2"/>
        <v>154.1</v>
      </c>
      <c r="E64" s="59" t="str">
        <f t="shared" si="3"/>
        <v>yes</v>
      </c>
      <c r="F64" s="60" t="str">
        <f t="shared" si="4"/>
        <v>yes</v>
      </c>
      <c r="I64" s="45">
        <f t="shared" si="5"/>
        <v>2432</v>
      </c>
      <c r="J64" s="45">
        <f t="shared" si="6"/>
        <v>2453</v>
      </c>
      <c r="K64" s="45" t="str">
        <f t="shared" si="7"/>
        <v>Standard</v>
      </c>
    </row>
    <row r="65">
      <c r="B65" s="61">
        <v>45689.0</v>
      </c>
      <c r="C65" s="45">
        <f t="shared" si="1"/>
        <v>2040</v>
      </c>
      <c r="D65" s="52">
        <f t="shared" si="2"/>
        <v>102</v>
      </c>
      <c r="E65" s="52" t="str">
        <f t="shared" si="3"/>
        <v>no</v>
      </c>
      <c r="F65" s="53" t="str">
        <f t="shared" si="4"/>
        <v>no</v>
      </c>
      <c r="I65" s="45">
        <f t="shared" si="5"/>
        <v>2589</v>
      </c>
      <c r="J65" s="45">
        <f t="shared" si="6"/>
        <v>2598</v>
      </c>
      <c r="K65" s="45" t="str">
        <f t="shared" si="7"/>
        <v>Standard</v>
      </c>
    </row>
    <row r="66">
      <c r="B66" s="62">
        <v>45690.0</v>
      </c>
      <c r="C66" s="45">
        <f t="shared" si="1"/>
        <v>2305</v>
      </c>
      <c r="D66" s="52">
        <f t="shared" si="2"/>
        <v>115.25</v>
      </c>
      <c r="E66" s="45" t="str">
        <f t="shared" si="3"/>
        <v>no</v>
      </c>
      <c r="F66" s="55" t="str">
        <f t="shared" si="4"/>
        <v>no</v>
      </c>
      <c r="I66" s="45">
        <f t="shared" si="5"/>
        <v>2450</v>
      </c>
      <c r="J66" s="45">
        <f t="shared" si="6"/>
        <v>2486</v>
      </c>
      <c r="K66" s="45" t="str">
        <f t="shared" si="7"/>
        <v>Standard</v>
      </c>
    </row>
    <row r="67">
      <c r="B67" s="62">
        <v>45691.0</v>
      </c>
      <c r="C67" s="45">
        <f t="shared" si="1"/>
        <v>2964</v>
      </c>
      <c r="D67" s="52">
        <f t="shared" si="2"/>
        <v>148.2</v>
      </c>
      <c r="E67" s="45" t="str">
        <f t="shared" si="3"/>
        <v>yes</v>
      </c>
      <c r="F67" s="55" t="str">
        <f t="shared" si="4"/>
        <v>yes</v>
      </c>
      <c r="I67" s="45">
        <f t="shared" si="5"/>
        <v>2404</v>
      </c>
      <c r="J67" s="45">
        <f t="shared" si="6"/>
        <v>2480</v>
      </c>
      <c r="K67" s="45" t="str">
        <f t="shared" si="7"/>
        <v>Standard</v>
      </c>
    </row>
    <row r="68">
      <c r="B68" s="62">
        <v>45692.0</v>
      </c>
      <c r="C68" s="45">
        <f t="shared" si="1"/>
        <v>2215</v>
      </c>
      <c r="D68" s="52">
        <f t="shared" si="2"/>
        <v>110.75</v>
      </c>
      <c r="E68" s="45" t="str">
        <f t="shared" si="3"/>
        <v>no</v>
      </c>
      <c r="F68" s="55" t="str">
        <f t="shared" si="4"/>
        <v>no</v>
      </c>
      <c r="I68" s="45">
        <f t="shared" si="5"/>
        <v>2525</v>
      </c>
      <c r="J68" s="45">
        <f t="shared" si="6"/>
        <v>2468</v>
      </c>
      <c r="K68" s="45" t="str">
        <f t="shared" si="7"/>
        <v>Rolling</v>
      </c>
    </row>
    <row r="69">
      <c r="B69" s="62">
        <v>45693.0</v>
      </c>
      <c r="C69" s="45">
        <f t="shared" si="1"/>
        <v>2595</v>
      </c>
      <c r="D69" s="52">
        <f t="shared" si="2"/>
        <v>129.75</v>
      </c>
      <c r="E69" s="45" t="str">
        <f t="shared" si="3"/>
        <v>yes</v>
      </c>
      <c r="F69" s="55" t="str">
        <f t="shared" si="4"/>
        <v>yes</v>
      </c>
      <c r="I69" s="45">
        <f t="shared" si="5"/>
        <v>2462</v>
      </c>
      <c r="J69" s="45">
        <f t="shared" si="6"/>
        <v>2490</v>
      </c>
      <c r="K69" s="45" t="str">
        <f t="shared" si="7"/>
        <v>Standard</v>
      </c>
    </row>
    <row r="70">
      <c r="B70" s="62">
        <v>45694.0</v>
      </c>
      <c r="C70" s="45">
        <f t="shared" si="1"/>
        <v>1684</v>
      </c>
      <c r="D70" s="52">
        <f t="shared" si="2"/>
        <v>84.2</v>
      </c>
      <c r="E70" s="45" t="str">
        <f t="shared" si="3"/>
        <v>no</v>
      </c>
      <c r="F70" s="55" t="str">
        <f t="shared" si="4"/>
        <v>no</v>
      </c>
      <c r="I70" s="45">
        <f t="shared" si="5"/>
        <v>2488</v>
      </c>
      <c r="J70" s="45">
        <f t="shared" si="6"/>
        <v>2442</v>
      </c>
      <c r="K70" s="45" t="str">
        <f t="shared" si="7"/>
        <v>Rolling</v>
      </c>
    </row>
    <row r="71">
      <c r="B71" s="62">
        <v>45695.0</v>
      </c>
      <c r="C71" s="45">
        <f t="shared" si="1"/>
        <v>1957</v>
      </c>
      <c r="D71" s="52">
        <f t="shared" si="2"/>
        <v>97.85</v>
      </c>
      <c r="E71" s="45" t="str">
        <f t="shared" si="3"/>
        <v>no</v>
      </c>
      <c r="F71" s="55" t="str">
        <f t="shared" si="4"/>
        <v>no</v>
      </c>
      <c r="I71" s="45">
        <f t="shared" si="5"/>
        <v>2299</v>
      </c>
      <c r="J71" s="45">
        <f t="shared" si="6"/>
        <v>2412</v>
      </c>
      <c r="K71" s="45" t="str">
        <f t="shared" si="7"/>
        <v>Standard</v>
      </c>
    </row>
    <row r="72">
      <c r="B72" s="62">
        <v>45696.0</v>
      </c>
      <c r="C72" s="45">
        <f t="shared" si="1"/>
        <v>2468</v>
      </c>
      <c r="D72" s="52">
        <f t="shared" si="2"/>
        <v>123.4</v>
      </c>
      <c r="E72" s="45" t="str">
        <f t="shared" si="3"/>
        <v>yes</v>
      </c>
      <c r="F72" s="55" t="str">
        <f t="shared" si="4"/>
        <v>yes</v>
      </c>
      <c r="I72" s="45">
        <f t="shared" si="5"/>
        <v>2185</v>
      </c>
      <c r="J72" s="45">
        <f t="shared" si="6"/>
        <v>2251</v>
      </c>
      <c r="K72" s="45" t="str">
        <f t="shared" si="7"/>
        <v>Standard</v>
      </c>
    </row>
    <row r="73">
      <c r="B73" s="62">
        <v>45697.0</v>
      </c>
      <c r="C73" s="45">
        <f t="shared" si="1"/>
        <v>2561</v>
      </c>
      <c r="D73" s="52">
        <f t="shared" si="2"/>
        <v>128.05</v>
      </c>
      <c r="E73" s="45" t="str">
        <f t="shared" si="3"/>
        <v>yes</v>
      </c>
      <c r="F73" s="55" t="str">
        <f t="shared" si="4"/>
        <v>yes</v>
      </c>
      <c r="I73" s="45">
        <f t="shared" si="5"/>
        <v>2239</v>
      </c>
      <c r="J73" s="45">
        <f t="shared" si="6"/>
        <v>2313</v>
      </c>
      <c r="K73" s="45" t="str">
        <f t="shared" si="7"/>
        <v>Standard</v>
      </c>
    </row>
    <row r="74">
      <c r="B74" s="62">
        <v>45698.0</v>
      </c>
      <c r="C74" s="45">
        <f t="shared" si="1"/>
        <v>3219</v>
      </c>
      <c r="D74" s="52">
        <f t="shared" si="2"/>
        <v>160.95</v>
      </c>
      <c r="E74" s="45" t="str">
        <f t="shared" si="3"/>
        <v>yes</v>
      </c>
      <c r="F74" s="55" t="str">
        <f t="shared" si="4"/>
        <v>yes</v>
      </c>
      <c r="I74" s="45">
        <f t="shared" si="5"/>
        <v>2301</v>
      </c>
      <c r="J74" s="45">
        <f t="shared" si="6"/>
        <v>2349</v>
      </c>
      <c r="K74" s="45" t="str">
        <f t="shared" si="7"/>
        <v>Standard</v>
      </c>
    </row>
    <row r="75">
      <c r="B75" s="62">
        <v>45699.0</v>
      </c>
      <c r="C75" s="45">
        <f t="shared" si="1"/>
        <v>2689</v>
      </c>
      <c r="D75" s="52">
        <f t="shared" si="2"/>
        <v>134.45</v>
      </c>
      <c r="E75" s="45" t="str">
        <f t="shared" si="3"/>
        <v>yes</v>
      </c>
      <c r="F75" s="55" t="str">
        <f t="shared" si="4"/>
        <v>yes</v>
      </c>
      <c r="I75" s="45">
        <f t="shared" si="5"/>
        <v>2519</v>
      </c>
      <c r="J75" s="45">
        <f t="shared" si="6"/>
        <v>2386</v>
      </c>
      <c r="K75" s="45" t="str">
        <f t="shared" si="7"/>
        <v>Rolling</v>
      </c>
    </row>
    <row r="76">
      <c r="B76" s="62">
        <v>45700.0</v>
      </c>
      <c r="C76" s="45">
        <f t="shared" si="1"/>
        <v>2298</v>
      </c>
      <c r="D76" s="52">
        <f t="shared" si="2"/>
        <v>114.9</v>
      </c>
      <c r="E76" s="45" t="str">
        <f t="shared" si="3"/>
        <v>no</v>
      </c>
      <c r="F76" s="55" t="str">
        <f t="shared" si="4"/>
        <v>no</v>
      </c>
      <c r="I76" s="45">
        <f t="shared" si="5"/>
        <v>2595</v>
      </c>
      <c r="J76" s="45">
        <f t="shared" si="6"/>
        <v>2453</v>
      </c>
      <c r="K76" s="45" t="str">
        <f t="shared" si="7"/>
        <v>Rolling</v>
      </c>
    </row>
    <row r="77">
      <c r="B77" s="62">
        <v>45701.0</v>
      </c>
      <c r="C77" s="45">
        <f t="shared" si="1"/>
        <v>3125</v>
      </c>
      <c r="D77" s="52">
        <f t="shared" si="2"/>
        <v>156.25</v>
      </c>
      <c r="E77" s="45" t="str">
        <f t="shared" si="3"/>
        <v>yes</v>
      </c>
      <c r="F77" s="55" t="str">
        <f t="shared" si="4"/>
        <v>yes</v>
      </c>
      <c r="I77" s="45">
        <f t="shared" si="5"/>
        <v>2556</v>
      </c>
      <c r="J77" s="45">
        <f t="shared" si="6"/>
        <v>2411</v>
      </c>
      <c r="K77" s="45" t="str">
        <f t="shared" si="7"/>
        <v>Rolling</v>
      </c>
    </row>
    <row r="78">
      <c r="B78" s="62">
        <v>45702.0</v>
      </c>
      <c r="C78" s="45">
        <f t="shared" si="1"/>
        <v>3114</v>
      </c>
      <c r="D78" s="52">
        <f t="shared" si="2"/>
        <v>155.7</v>
      </c>
      <c r="E78" s="45" t="str">
        <f t="shared" si="3"/>
        <v>yes</v>
      </c>
      <c r="F78" s="55" t="str">
        <f t="shared" si="4"/>
        <v>yes</v>
      </c>
      <c r="I78" s="45">
        <f t="shared" si="5"/>
        <v>2734</v>
      </c>
      <c r="J78" s="45">
        <f t="shared" si="6"/>
        <v>2617</v>
      </c>
      <c r="K78" s="45" t="str">
        <f t="shared" si="7"/>
        <v>Rolling</v>
      </c>
    </row>
    <row r="79">
      <c r="B79" s="62">
        <v>45703.0</v>
      </c>
      <c r="C79" s="45">
        <f t="shared" si="1"/>
        <v>2531</v>
      </c>
      <c r="D79" s="52">
        <f t="shared" si="2"/>
        <v>126.55</v>
      </c>
      <c r="E79" s="45" t="str">
        <f t="shared" si="3"/>
        <v>no</v>
      </c>
      <c r="F79" s="55" t="str">
        <f t="shared" si="4"/>
        <v>no</v>
      </c>
      <c r="I79" s="45">
        <f t="shared" si="5"/>
        <v>2859</v>
      </c>
      <c r="J79" s="45">
        <f t="shared" si="6"/>
        <v>2782</v>
      </c>
      <c r="K79" s="45" t="str">
        <f t="shared" si="7"/>
        <v>Rolling</v>
      </c>
    </row>
    <row r="80">
      <c r="B80" s="62">
        <v>45704.0</v>
      </c>
      <c r="C80" s="45">
        <f t="shared" si="1"/>
        <v>3267</v>
      </c>
      <c r="D80" s="52">
        <f t="shared" si="2"/>
        <v>163.35</v>
      </c>
      <c r="E80" s="45" t="str">
        <f t="shared" si="3"/>
        <v>yes</v>
      </c>
      <c r="F80" s="55" t="str">
        <f t="shared" si="4"/>
        <v>yes</v>
      </c>
      <c r="I80" s="45">
        <f t="shared" si="5"/>
        <v>2796</v>
      </c>
      <c r="J80" s="45">
        <f t="shared" si="6"/>
        <v>2791</v>
      </c>
      <c r="K80" s="45" t="str">
        <f t="shared" si="7"/>
        <v>Rolling</v>
      </c>
    </row>
    <row r="81">
      <c r="B81" s="62">
        <v>45705.0</v>
      </c>
      <c r="C81" s="45">
        <f t="shared" si="1"/>
        <v>3219</v>
      </c>
      <c r="D81" s="52">
        <f t="shared" si="2"/>
        <v>160.95</v>
      </c>
      <c r="E81" s="45" t="str">
        <f t="shared" si="3"/>
        <v>yes</v>
      </c>
      <c r="F81" s="55" t="str">
        <f t="shared" si="4"/>
        <v>yes</v>
      </c>
      <c r="I81" s="45">
        <f t="shared" si="5"/>
        <v>2915</v>
      </c>
      <c r="J81" s="45">
        <f t="shared" si="6"/>
        <v>2892</v>
      </c>
      <c r="K81" s="45" t="str">
        <f t="shared" si="7"/>
        <v>Rolling</v>
      </c>
    </row>
    <row r="82">
      <c r="B82" s="62">
        <v>45706.0</v>
      </c>
      <c r="C82" s="45">
        <f t="shared" si="1"/>
        <v>2888</v>
      </c>
      <c r="D82" s="52">
        <f t="shared" si="2"/>
        <v>144.4</v>
      </c>
      <c r="E82" s="45" t="str">
        <f t="shared" si="3"/>
        <v>no</v>
      </c>
      <c r="F82" s="55" t="str">
        <f t="shared" si="4"/>
        <v>no</v>
      </c>
      <c r="I82" s="45">
        <f t="shared" si="5"/>
        <v>2997</v>
      </c>
      <c r="J82" s="45">
        <f t="shared" si="6"/>
        <v>2892</v>
      </c>
      <c r="K82" s="45" t="str">
        <f t="shared" si="7"/>
        <v>Rolling</v>
      </c>
    </row>
    <row r="83">
      <c r="B83" s="62">
        <v>45707.0</v>
      </c>
      <c r="C83" s="45">
        <f t="shared" si="1"/>
        <v>2494</v>
      </c>
      <c r="D83" s="52">
        <f t="shared" si="2"/>
        <v>124.7</v>
      </c>
      <c r="E83" s="45" t="str">
        <f t="shared" si="3"/>
        <v>no</v>
      </c>
      <c r="F83" s="55" t="str">
        <f t="shared" si="4"/>
        <v>no</v>
      </c>
      <c r="I83" s="45">
        <f t="shared" si="5"/>
        <v>2996</v>
      </c>
      <c r="J83" s="45">
        <f t="shared" si="6"/>
        <v>2920</v>
      </c>
      <c r="K83" s="45" t="str">
        <f t="shared" si="7"/>
        <v>Rolling</v>
      </c>
    </row>
    <row r="84">
      <c r="B84" s="62">
        <v>45708.0</v>
      </c>
      <c r="C84" s="45">
        <f t="shared" si="1"/>
        <v>2616</v>
      </c>
      <c r="D84" s="52">
        <f t="shared" si="2"/>
        <v>130.8</v>
      </c>
      <c r="E84" s="45" t="str">
        <f t="shared" si="3"/>
        <v>no</v>
      </c>
      <c r="F84" s="55" t="str">
        <f t="shared" si="4"/>
        <v>no</v>
      </c>
      <c r="I84" s="45">
        <f t="shared" si="5"/>
        <v>2889</v>
      </c>
      <c r="J84" s="45">
        <f t="shared" si="6"/>
        <v>2948</v>
      </c>
      <c r="K84" s="45" t="str">
        <f t="shared" si="7"/>
        <v>Standard</v>
      </c>
    </row>
    <row r="85">
      <c r="B85" s="62">
        <v>45709.0</v>
      </c>
      <c r="C85" s="45">
        <f t="shared" si="1"/>
        <v>1770</v>
      </c>
      <c r="D85" s="52">
        <f t="shared" si="2"/>
        <v>88.5</v>
      </c>
      <c r="E85" s="45" t="str">
        <f t="shared" si="3"/>
        <v>no</v>
      </c>
      <c r="F85" s="55" t="str">
        <f t="shared" si="4"/>
        <v>no</v>
      </c>
      <c r="I85" s="45">
        <f t="shared" si="5"/>
        <v>2806</v>
      </c>
      <c r="J85" s="45">
        <f t="shared" si="6"/>
        <v>2876</v>
      </c>
      <c r="K85" s="45" t="str">
        <f t="shared" si="7"/>
        <v>Standard</v>
      </c>
    </row>
    <row r="86">
      <c r="B86" s="62">
        <v>45710.0</v>
      </c>
      <c r="C86" s="45">
        <f t="shared" si="1"/>
        <v>2666</v>
      </c>
      <c r="D86" s="52">
        <f t="shared" si="2"/>
        <v>133.3</v>
      </c>
      <c r="E86" s="45" t="str">
        <f t="shared" si="3"/>
        <v>yes</v>
      </c>
      <c r="F86" s="55" t="str">
        <f t="shared" si="4"/>
        <v>no</v>
      </c>
      <c r="G86" s="1"/>
      <c r="I86" s="45">
        <f t="shared" si="5"/>
        <v>2530</v>
      </c>
      <c r="J86" s="45">
        <f t="shared" si="6"/>
        <v>2684</v>
      </c>
      <c r="K86" s="45" t="str">
        <f t="shared" si="7"/>
        <v>Standard</v>
      </c>
    </row>
    <row r="87">
      <c r="B87" s="62">
        <v>45711.0</v>
      </c>
      <c r="C87" s="45">
        <f t="shared" si="1"/>
        <v>3150</v>
      </c>
      <c r="D87" s="52">
        <f t="shared" si="2"/>
        <v>157.5</v>
      </c>
      <c r="E87" s="45" t="str">
        <f t="shared" si="3"/>
        <v>yes</v>
      </c>
      <c r="F87" s="55" t="str">
        <f t="shared" si="4"/>
        <v>yes</v>
      </c>
      <c r="H87" s="1"/>
      <c r="I87" s="45">
        <f t="shared" si="5"/>
        <v>2525</v>
      </c>
      <c r="J87" s="45">
        <f t="shared" si="6"/>
        <v>2703</v>
      </c>
      <c r="K87" s="45" t="str">
        <f t="shared" si="7"/>
        <v>Standard</v>
      </c>
    </row>
    <row r="88">
      <c r="B88" s="62">
        <v>45712.0</v>
      </c>
      <c r="C88" s="45">
        <f t="shared" si="1"/>
        <v>2814</v>
      </c>
      <c r="D88" s="52">
        <f t="shared" si="2"/>
        <v>140.7</v>
      </c>
      <c r="E88" s="45" t="str">
        <f t="shared" si="3"/>
        <v>yes</v>
      </c>
      <c r="F88" s="55" t="str">
        <f t="shared" si="4"/>
        <v>yes</v>
      </c>
      <c r="I88" s="45">
        <f t="shared" si="5"/>
        <v>2637</v>
      </c>
      <c r="J88" s="45">
        <f t="shared" si="6"/>
        <v>2686</v>
      </c>
      <c r="K88" s="45" t="str">
        <f t="shared" si="7"/>
        <v>Standard</v>
      </c>
    </row>
    <row r="89">
      <c r="B89" s="62">
        <v>45713.0</v>
      </c>
      <c r="C89" s="45">
        <f t="shared" si="1"/>
        <v>2117</v>
      </c>
      <c r="D89" s="52">
        <f t="shared" si="2"/>
        <v>105.85</v>
      </c>
      <c r="E89" s="45" t="str">
        <f t="shared" si="3"/>
        <v>no</v>
      </c>
      <c r="F89" s="55" t="str">
        <f t="shared" si="4"/>
        <v>no</v>
      </c>
      <c r="I89" s="45">
        <f t="shared" si="5"/>
        <v>2669</v>
      </c>
      <c r="J89" s="45">
        <f t="shared" si="6"/>
        <v>2628</v>
      </c>
      <c r="K89" s="45" t="str">
        <f t="shared" si="7"/>
        <v>Rolling</v>
      </c>
      <c r="P89" s="1"/>
    </row>
    <row r="90">
      <c r="B90" s="62">
        <v>45714.0</v>
      </c>
      <c r="C90" s="45">
        <f t="shared" si="1"/>
        <v>3209</v>
      </c>
      <c r="D90" s="52">
        <f t="shared" si="2"/>
        <v>160.45</v>
      </c>
      <c r="E90" s="45" t="str">
        <f t="shared" si="3"/>
        <v>yes</v>
      </c>
      <c r="F90" s="55" t="str">
        <f t="shared" si="4"/>
        <v>yes</v>
      </c>
      <c r="I90" s="45">
        <f t="shared" si="5"/>
        <v>2541</v>
      </c>
      <c r="J90" s="45">
        <f t="shared" si="6"/>
        <v>2518</v>
      </c>
      <c r="K90" s="45" t="str">
        <f t="shared" si="7"/>
        <v>Rolling</v>
      </c>
    </row>
    <row r="91">
      <c r="B91" s="62">
        <v>45715.0</v>
      </c>
      <c r="C91" s="45">
        <f t="shared" si="1"/>
        <v>3172</v>
      </c>
      <c r="D91" s="52">
        <f t="shared" si="2"/>
        <v>158.6</v>
      </c>
      <c r="E91" s="45" t="str">
        <f t="shared" si="3"/>
        <v>yes</v>
      </c>
      <c r="F91" s="55" t="str">
        <f t="shared" si="4"/>
        <v>yes</v>
      </c>
      <c r="H91" s="1"/>
      <c r="I91" s="45">
        <f t="shared" si="5"/>
        <v>2714</v>
      </c>
      <c r="J91" s="45">
        <f t="shared" si="6"/>
        <v>2620</v>
      </c>
      <c r="K91" s="45" t="str">
        <f t="shared" si="7"/>
        <v>Rolling</v>
      </c>
    </row>
    <row r="92">
      <c r="B92" s="62">
        <v>45716.0</v>
      </c>
      <c r="C92" s="45">
        <f t="shared" si="1"/>
        <v>2778</v>
      </c>
      <c r="D92" s="52">
        <f t="shared" si="2"/>
        <v>138.9</v>
      </c>
      <c r="E92" s="45" t="str">
        <f t="shared" si="3"/>
        <v>no</v>
      </c>
      <c r="F92" s="55" t="str">
        <f t="shared" si="4"/>
        <v>yes</v>
      </c>
      <c r="G92" s="1"/>
      <c r="H92" s="1"/>
      <c r="I92" s="45">
        <f t="shared" si="5"/>
        <v>2852</v>
      </c>
      <c r="J92" s="45">
        <f t="shared" si="6"/>
        <v>2700</v>
      </c>
      <c r="K92" s="45" t="str">
        <f t="shared" si="7"/>
        <v>Rolling</v>
      </c>
    </row>
    <row r="93">
      <c r="B93" s="63" t="s">
        <v>42</v>
      </c>
      <c r="C93" s="59">
        <f>sum(C65:C92)</f>
        <v>73925</v>
      </c>
      <c r="D93" s="59">
        <f>SUM(D65:D92)</f>
        <v>3696.25</v>
      </c>
      <c r="E93" s="59">
        <f t="shared" ref="E93:F93" si="8">COUNTIF(E65:E92,"yes")</f>
        <v>15</v>
      </c>
      <c r="F93" s="60">
        <f t="shared" si="8"/>
        <v>15</v>
      </c>
      <c r="H93" s="1"/>
    </row>
    <row r="94">
      <c r="E94" s="25"/>
    </row>
    <row r="95">
      <c r="B95" s="64" t="s">
        <v>43</v>
      </c>
      <c r="C95" s="65" t="s">
        <v>44</v>
      </c>
      <c r="D95" s="66"/>
      <c r="E95" s="67" t="s">
        <v>23</v>
      </c>
      <c r="F95" s="65" t="s">
        <v>45</v>
      </c>
      <c r="G95" s="68"/>
      <c r="I95" s="69" t="s">
        <v>46</v>
      </c>
      <c r="J95" s="65" t="s">
        <v>44</v>
      </c>
      <c r="K95" s="66"/>
      <c r="L95" s="67" t="s">
        <v>23</v>
      </c>
      <c r="M95" s="65" t="s">
        <v>45</v>
      </c>
      <c r="N95" s="68"/>
    </row>
    <row r="96">
      <c r="B96" s="70"/>
      <c r="C96" s="12"/>
      <c r="D96" s="14"/>
      <c r="E96" s="71">
        <v>0.01</v>
      </c>
      <c r="F96" s="12"/>
      <c r="G96" s="72"/>
      <c r="I96" s="70"/>
      <c r="J96" s="12"/>
      <c r="K96" s="14"/>
      <c r="L96" s="71">
        <v>0.01</v>
      </c>
      <c r="M96" s="12"/>
      <c r="N96" s="72"/>
      <c r="P96" s="25"/>
    </row>
    <row r="97">
      <c r="B97" s="70"/>
      <c r="C97" s="73" t="s">
        <v>47</v>
      </c>
      <c r="D97" s="74">
        <f>SUM(D65:D79)</f>
        <v>1888.25</v>
      </c>
      <c r="F97" s="73" t="s">
        <v>47</v>
      </c>
      <c r="G97" s="75">
        <f>D97</f>
        <v>1888.25</v>
      </c>
      <c r="I97" s="70"/>
      <c r="J97" s="73" t="s">
        <v>47</v>
      </c>
      <c r="K97" s="74">
        <f>sum(D34:D48)</f>
        <v>1841.65</v>
      </c>
      <c r="M97" s="73" t="s">
        <v>47</v>
      </c>
      <c r="N97" s="75">
        <f>K97</f>
        <v>1841.65</v>
      </c>
      <c r="P97" s="25"/>
    </row>
    <row r="98">
      <c r="B98" s="70"/>
      <c r="G98" s="76"/>
      <c r="I98" s="70"/>
      <c r="N98" s="76"/>
    </row>
    <row r="99">
      <c r="B99" s="70"/>
      <c r="C99" s="73" t="s">
        <v>48</v>
      </c>
      <c r="D99" s="74">
        <f>round(D97*(E96*COUNTIF(E65:E79,"yes")),2)</f>
        <v>151.06</v>
      </c>
      <c r="F99" s="73" t="s">
        <v>49</v>
      </c>
      <c r="G99" s="75">
        <f>round(G97*(E96*COUNTIF(F65:F79,"yes")),2)</f>
        <v>151.06</v>
      </c>
      <c r="I99" s="70"/>
      <c r="J99" s="73" t="s">
        <v>48</v>
      </c>
      <c r="K99" s="74">
        <f>round(K97*(L96*COUNTIF(E34:E48,"yes")),2)</f>
        <v>110.5</v>
      </c>
      <c r="M99" s="73" t="s">
        <v>49</v>
      </c>
      <c r="N99" s="75">
        <f>round(N97*(L96*COUNTIF(F34:F48,"yes")),2)</f>
        <v>110.5</v>
      </c>
      <c r="R99" s="1"/>
    </row>
    <row r="100">
      <c r="B100" s="70"/>
      <c r="C100" s="73" t="s">
        <v>50</v>
      </c>
      <c r="D100" s="74">
        <f>D97+D99</f>
        <v>2039.31</v>
      </c>
      <c r="F100" s="73" t="s">
        <v>51</v>
      </c>
      <c r="G100" s="74">
        <f>G97+G99</f>
        <v>2039.31</v>
      </c>
      <c r="I100" s="70"/>
      <c r="J100" s="73" t="s">
        <v>50</v>
      </c>
      <c r="K100" s="74">
        <f>K97+K99</f>
        <v>1952.15</v>
      </c>
      <c r="M100" s="73" t="s">
        <v>51</v>
      </c>
      <c r="N100" s="74">
        <f>N97+N99</f>
        <v>1952.15</v>
      </c>
    </row>
    <row r="101">
      <c r="B101" s="70"/>
      <c r="G101" s="76"/>
      <c r="I101" s="70"/>
      <c r="N101" s="76"/>
    </row>
    <row r="102">
      <c r="B102" s="77"/>
      <c r="C102" s="78" t="s">
        <v>52</v>
      </c>
      <c r="D102" s="79">
        <f>D99/D97</f>
        <v>0.08</v>
      </c>
      <c r="E102" s="80"/>
      <c r="F102" s="81" t="s">
        <v>53</v>
      </c>
      <c r="G102" s="82">
        <f>G99/G97</f>
        <v>0.08</v>
      </c>
      <c r="I102" s="77"/>
      <c r="J102" s="78" t="s">
        <v>52</v>
      </c>
      <c r="K102" s="79">
        <f>K99/K97</f>
        <v>0.06000054299</v>
      </c>
      <c r="L102" s="80"/>
      <c r="M102" s="81" t="s">
        <v>53</v>
      </c>
      <c r="N102" s="82">
        <f>N99/N97</f>
        <v>0.06000054299</v>
      </c>
    </row>
    <row r="103">
      <c r="C103" s="21"/>
      <c r="F103" s="21"/>
    </row>
    <row r="105">
      <c r="B105" s="64" t="s">
        <v>54</v>
      </c>
      <c r="C105" s="65" t="s">
        <v>44</v>
      </c>
      <c r="D105" s="66"/>
      <c r="E105" s="67" t="s">
        <v>23</v>
      </c>
      <c r="F105" s="65" t="s">
        <v>45</v>
      </c>
      <c r="G105" s="68"/>
      <c r="I105" s="69" t="s">
        <v>55</v>
      </c>
      <c r="J105" s="65" t="s">
        <v>44</v>
      </c>
      <c r="K105" s="66"/>
      <c r="L105" s="67" t="s">
        <v>23</v>
      </c>
      <c r="M105" s="65" t="s">
        <v>45</v>
      </c>
      <c r="N105" s="68"/>
    </row>
    <row r="106">
      <c r="B106" s="70"/>
      <c r="C106" s="12"/>
      <c r="D106" s="14"/>
      <c r="E106" s="71">
        <v>0.01</v>
      </c>
      <c r="F106" s="12"/>
      <c r="G106" s="72"/>
      <c r="I106" s="70"/>
      <c r="J106" s="12"/>
      <c r="K106" s="14"/>
      <c r="L106" s="71">
        <v>0.01</v>
      </c>
      <c r="M106" s="12"/>
      <c r="N106" s="72"/>
    </row>
    <row r="107">
      <c r="B107" s="70"/>
      <c r="C107" s="73" t="s">
        <v>47</v>
      </c>
      <c r="D107" s="74">
        <f>SUM(D80:D92)</f>
        <v>1808</v>
      </c>
      <c r="F107" s="73" t="s">
        <v>47</v>
      </c>
      <c r="G107" s="75">
        <f>D107</f>
        <v>1808</v>
      </c>
      <c r="I107" s="70"/>
      <c r="J107" s="73" t="s">
        <v>47</v>
      </c>
      <c r="K107" s="74">
        <f>sum(D49:D64)</f>
        <v>2038</v>
      </c>
      <c r="M107" s="73" t="s">
        <v>47</v>
      </c>
      <c r="N107" s="75">
        <f>K107</f>
        <v>2038</v>
      </c>
    </row>
    <row r="108">
      <c r="B108" s="70"/>
      <c r="G108" s="76"/>
      <c r="I108" s="70"/>
      <c r="N108" s="76"/>
    </row>
    <row r="109">
      <c r="B109" s="70"/>
      <c r="C109" s="73" t="s">
        <v>48</v>
      </c>
      <c r="D109" s="74">
        <f>round(D107*(E106*COUNTIF(E80:E92,"yes")),2)</f>
        <v>126.56</v>
      </c>
      <c r="F109" s="73" t="s">
        <v>49</v>
      </c>
      <c r="G109" s="75">
        <f>round(G107*(E106*COUNTIF(F80:F92,"yes")),2)</f>
        <v>126.56</v>
      </c>
      <c r="I109" s="70"/>
      <c r="J109" s="73" t="s">
        <v>48</v>
      </c>
      <c r="K109" s="74">
        <f>round(K107*(L106*COUNTIF(E49:E64,"yes")),2)</f>
        <v>183.42</v>
      </c>
      <c r="M109" s="73" t="s">
        <v>49</v>
      </c>
      <c r="N109" s="75">
        <f>round(N107*(L106*COUNTIF(F49:F64,"yes")),2)</f>
        <v>163.04</v>
      </c>
      <c r="P109" s="1"/>
    </row>
    <row r="110">
      <c r="B110" s="70"/>
      <c r="C110" s="73" t="s">
        <v>50</v>
      </c>
      <c r="D110" s="74">
        <f>D107+D109</f>
        <v>1934.56</v>
      </c>
      <c r="F110" s="73" t="s">
        <v>51</v>
      </c>
      <c r="G110" s="74">
        <f>G107+G109</f>
        <v>1934.56</v>
      </c>
      <c r="I110" s="70"/>
      <c r="J110" s="73" t="s">
        <v>50</v>
      </c>
      <c r="K110" s="74">
        <f>K107+K109</f>
        <v>2221.42</v>
      </c>
      <c r="M110" s="73" t="s">
        <v>51</v>
      </c>
      <c r="N110" s="74">
        <f>N107+N109</f>
        <v>2201.04</v>
      </c>
    </row>
    <row r="111">
      <c r="B111" s="70"/>
      <c r="G111" s="76"/>
      <c r="I111" s="70"/>
      <c r="N111" s="76"/>
    </row>
    <row r="112">
      <c r="B112" s="77"/>
      <c r="C112" s="78" t="s">
        <v>52</v>
      </c>
      <c r="D112" s="79">
        <f>D109/D107</f>
        <v>0.07</v>
      </c>
      <c r="E112" s="80"/>
      <c r="F112" s="81" t="s">
        <v>53</v>
      </c>
      <c r="G112" s="82">
        <f>G109/G107</f>
        <v>0.07</v>
      </c>
      <c r="I112" s="77"/>
      <c r="J112" s="78" t="s">
        <v>52</v>
      </c>
      <c r="K112" s="79">
        <f>K109/K107</f>
        <v>0.09</v>
      </c>
      <c r="L112" s="80"/>
      <c r="M112" s="81" t="s">
        <v>53</v>
      </c>
      <c r="N112" s="82">
        <f>N109/N107</f>
        <v>0.08</v>
      </c>
    </row>
    <row r="114">
      <c r="H114" s="1"/>
      <c r="I114" s="1"/>
    </row>
    <row r="115">
      <c r="I115" s="83"/>
    </row>
    <row r="116">
      <c r="I116" s="84"/>
    </row>
    <row r="135">
      <c r="B135" s="85" t="s">
        <v>44</v>
      </c>
      <c r="C135" s="86" t="s">
        <v>56</v>
      </c>
      <c r="D135" s="9"/>
      <c r="E135" s="87">
        <f>D100+D110+K100+K110</f>
        <v>8147.44</v>
      </c>
    </row>
    <row r="136">
      <c r="B136" s="32"/>
      <c r="C136" s="12"/>
      <c r="D136" s="14"/>
      <c r="E136" s="32"/>
    </row>
    <row r="138">
      <c r="B138" s="85" t="s">
        <v>45</v>
      </c>
      <c r="C138" s="88" t="s">
        <v>56</v>
      </c>
      <c r="D138" s="9"/>
      <c r="E138" s="89">
        <f>G100+G110+N100+N110</f>
        <v>8127.06</v>
      </c>
    </row>
    <row r="139">
      <c r="B139" s="32"/>
      <c r="C139" s="12"/>
      <c r="D139" s="14"/>
      <c r="E139" s="32"/>
    </row>
  </sheetData>
  <mergeCells count="18">
    <mergeCell ref="C105:D106"/>
    <mergeCell ref="F105:G106"/>
    <mergeCell ref="B135:B136"/>
    <mergeCell ref="C135:D136"/>
    <mergeCell ref="E135:E136"/>
    <mergeCell ref="B138:B139"/>
    <mergeCell ref="C138:D139"/>
    <mergeCell ref="E138:E139"/>
    <mergeCell ref="I105:I112"/>
    <mergeCell ref="J105:K106"/>
    <mergeCell ref="B95:B102"/>
    <mergeCell ref="C95:D96"/>
    <mergeCell ref="F95:G96"/>
    <mergeCell ref="I95:I102"/>
    <mergeCell ref="J95:K96"/>
    <mergeCell ref="M95:N96"/>
    <mergeCell ref="B105:B112"/>
    <mergeCell ref="M105:N10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8" max="9" width="13.63"/>
    <col customWidth="1" min="10" max="10" width="20.13"/>
    <col customWidth="1" min="11" max="12" width="13.63"/>
    <col customWidth="1" min="13" max="13" width="12.63"/>
    <col customWidth="1" min="14" max="14" width="22.0"/>
  </cols>
  <sheetData>
    <row r="1">
      <c r="F1" s="21">
        <v>28.0</v>
      </c>
    </row>
    <row r="2">
      <c r="H2" s="90" t="s">
        <v>13</v>
      </c>
      <c r="I2" s="90" t="s">
        <v>57</v>
      </c>
      <c r="J2" s="90" t="s">
        <v>58</v>
      </c>
      <c r="K2" s="90" t="s">
        <v>2</v>
      </c>
      <c r="L2" s="90" t="s">
        <v>59</v>
      </c>
      <c r="M2" s="90" t="s">
        <v>21</v>
      </c>
      <c r="N2" s="90" t="s">
        <v>60</v>
      </c>
    </row>
    <row r="3" outlineLevel="1">
      <c r="E3" s="40">
        <f t="shared" ref="E3:E9" si="1">I3*F3</f>
        <v>108.3495</v>
      </c>
      <c r="F3" s="42">
        <f t="shared" ref="F3:F9" si="2">round(G3/$F$1,4)</f>
        <v>0.0357</v>
      </c>
      <c r="G3" s="21">
        <v>1.0</v>
      </c>
      <c r="H3" s="91">
        <v>46016.0</v>
      </c>
      <c r="I3" s="92">
        <f>IFS(
    $H$2="Tier A", RANDBETWEEN($C$20, $D$20),
    $H$2="Tier B", RANDBETWEEN($C$21, $D$21),
    $H$2="Tier C", RANDBETWEEN($C$22, $D$22)
)</f>
        <v>3035</v>
      </c>
      <c r="J3" s="93">
        <f t="shared" ref="J3:J40" si="3">I3*0.8</f>
        <v>2428</v>
      </c>
      <c r="K3" s="93">
        <f t="shared" ref="K3:K40" si="4">IFS(
    $H$2="Tier A", round(J3*$E$20,1),
    $H$2="Tier B", round(J3*$E$21,1),
    $H$2="Tier C", round(J3*$E$22,1)
)</f>
        <v>121.4</v>
      </c>
      <c r="L3" s="94" t="s">
        <v>24</v>
      </c>
      <c r="M3" s="95" t="s">
        <v>24</v>
      </c>
      <c r="N3" s="96">
        <f t="shared" ref="N3:N40" si="5">IFS(
    $N$2="Hourly Salary (6h)", 12,
    $N$2="Hourly Salary (8h)", 16,
    $N$2="Hourly Salary (10h)", 20,
    $N$2="Hourly Salary (12h)", 24
)</f>
        <v>16</v>
      </c>
    </row>
    <row r="4" outlineLevel="1">
      <c r="E4" s="40">
        <f t="shared" si="1"/>
        <v>143.5854</v>
      </c>
      <c r="F4" s="42">
        <f t="shared" si="2"/>
        <v>0.0714</v>
      </c>
      <c r="G4" s="21">
        <v>2.0</v>
      </c>
      <c r="H4" s="91">
        <v>46017.0</v>
      </c>
      <c r="I4" s="92">
        <f t="shared" ref="I4:I40" si="6">IFS(
    $H$2="Tier C", RANDBETWEEN($C$22, $D$22),
    $H$2="Tier B", RANDBETWEEN($C$21, $D$21),
    $H$2="Tier A", RANDBETWEEN($C$20, $D$20)
)</f>
        <v>2011</v>
      </c>
      <c r="J4" s="93">
        <f t="shared" si="3"/>
        <v>1608.8</v>
      </c>
      <c r="K4" s="93">
        <f t="shared" si="4"/>
        <v>80.4</v>
      </c>
      <c r="L4" s="97" t="s">
        <v>24</v>
      </c>
      <c r="M4" s="98" t="s">
        <v>24</v>
      </c>
      <c r="N4" s="96">
        <f t="shared" si="5"/>
        <v>16</v>
      </c>
    </row>
    <row r="5" outlineLevel="1">
      <c r="D5" s="40">
        <f>SUM(E3:E9)</f>
        <v>2657.263</v>
      </c>
      <c r="E5" s="40">
        <f t="shared" si="1"/>
        <v>275.0328</v>
      </c>
      <c r="F5" s="42">
        <f t="shared" si="2"/>
        <v>0.1071</v>
      </c>
      <c r="G5" s="21">
        <v>3.0</v>
      </c>
      <c r="H5" s="91">
        <v>46018.0</v>
      </c>
      <c r="I5" s="92">
        <f t="shared" si="6"/>
        <v>2568</v>
      </c>
      <c r="J5" s="93">
        <f t="shared" si="3"/>
        <v>2054.4</v>
      </c>
      <c r="K5" s="93">
        <f t="shared" si="4"/>
        <v>102.7</v>
      </c>
      <c r="L5" s="97" t="s">
        <v>24</v>
      </c>
      <c r="M5" s="98" t="s">
        <v>24</v>
      </c>
      <c r="N5" s="96">
        <f t="shared" si="5"/>
        <v>16</v>
      </c>
    </row>
    <row r="6" outlineLevel="1">
      <c r="E6" s="40">
        <f t="shared" si="1"/>
        <v>310.6646</v>
      </c>
      <c r="F6" s="42">
        <f t="shared" si="2"/>
        <v>0.1429</v>
      </c>
      <c r="G6" s="21">
        <v>4.0</v>
      </c>
      <c r="H6" s="91">
        <v>46019.0</v>
      </c>
      <c r="I6" s="92">
        <f t="shared" si="6"/>
        <v>2174</v>
      </c>
      <c r="J6" s="93">
        <f t="shared" si="3"/>
        <v>1739.2</v>
      </c>
      <c r="K6" s="93">
        <f t="shared" si="4"/>
        <v>87</v>
      </c>
      <c r="L6" s="97" t="s">
        <v>24</v>
      </c>
      <c r="M6" s="98" t="s">
        <v>24</v>
      </c>
      <c r="N6" s="96">
        <f t="shared" si="5"/>
        <v>16</v>
      </c>
    </row>
    <row r="7" outlineLevel="1">
      <c r="E7" s="40">
        <f t="shared" si="1"/>
        <v>590.8088</v>
      </c>
      <c r="F7" s="42">
        <f t="shared" si="2"/>
        <v>0.1786</v>
      </c>
      <c r="G7" s="21">
        <v>5.0</v>
      </c>
      <c r="H7" s="91">
        <v>46020.0</v>
      </c>
      <c r="I7" s="92">
        <f t="shared" si="6"/>
        <v>3308</v>
      </c>
      <c r="J7" s="93">
        <f t="shared" si="3"/>
        <v>2646.4</v>
      </c>
      <c r="K7" s="93">
        <f t="shared" si="4"/>
        <v>132.3</v>
      </c>
      <c r="L7" s="97" t="s">
        <v>24</v>
      </c>
      <c r="M7" s="98" t="s">
        <v>24</v>
      </c>
      <c r="N7" s="96">
        <f t="shared" si="5"/>
        <v>16</v>
      </c>
    </row>
    <row r="8" outlineLevel="1">
      <c r="E8" s="40">
        <f t="shared" si="1"/>
        <v>542.8219</v>
      </c>
      <c r="F8" s="42">
        <f t="shared" si="2"/>
        <v>0.2143</v>
      </c>
      <c r="G8" s="21">
        <v>6.0</v>
      </c>
      <c r="H8" s="91">
        <v>46021.0</v>
      </c>
      <c r="I8" s="92">
        <f t="shared" si="6"/>
        <v>2533</v>
      </c>
      <c r="J8" s="93">
        <f t="shared" si="3"/>
        <v>2026.4</v>
      </c>
      <c r="K8" s="93">
        <f t="shared" si="4"/>
        <v>101.3</v>
      </c>
      <c r="L8" s="97" t="s">
        <v>24</v>
      </c>
      <c r="M8" s="98" t="s">
        <v>24</v>
      </c>
      <c r="N8" s="96">
        <f t="shared" si="5"/>
        <v>16</v>
      </c>
    </row>
    <row r="9" outlineLevel="1">
      <c r="E9" s="40">
        <f t="shared" si="1"/>
        <v>686</v>
      </c>
      <c r="F9" s="42">
        <f t="shared" si="2"/>
        <v>0.25</v>
      </c>
      <c r="G9" s="21">
        <v>7.0</v>
      </c>
      <c r="H9" s="91">
        <v>46022.0</v>
      </c>
      <c r="I9" s="92">
        <f t="shared" si="6"/>
        <v>2744</v>
      </c>
      <c r="J9" s="93">
        <f t="shared" si="3"/>
        <v>2195.2</v>
      </c>
      <c r="K9" s="93">
        <f t="shared" si="4"/>
        <v>109.8</v>
      </c>
      <c r="L9" s="97" t="s">
        <v>24</v>
      </c>
      <c r="M9" s="98" t="s">
        <v>24</v>
      </c>
      <c r="N9" s="96">
        <f t="shared" si="5"/>
        <v>16</v>
      </c>
    </row>
    <row r="10">
      <c r="H10" s="91">
        <v>46023.0</v>
      </c>
      <c r="I10" s="92">
        <f t="shared" si="6"/>
        <v>1977</v>
      </c>
      <c r="J10" s="93">
        <f t="shared" si="3"/>
        <v>1581.6</v>
      </c>
      <c r="K10" s="93">
        <f t="shared" si="4"/>
        <v>79.1</v>
      </c>
      <c r="L10" s="99">
        <f t="shared" ref="L10:L40" si="7">round(SUMPRODUCT(I3:I9, SEQUENCE(7,1)) / SUM(SEQUENCE(7,1)),0)</f>
        <v>2657</v>
      </c>
      <c r="M10" s="100" t="str">
        <f t="shared" ref="M10:M40" si="8">IF(I10&gt;L10,"yes","no")</f>
        <v>no</v>
      </c>
      <c r="N10" s="96">
        <f t="shared" si="5"/>
        <v>16</v>
      </c>
    </row>
    <row r="11">
      <c r="B11" s="101" t="s">
        <v>4</v>
      </c>
      <c r="C11" s="8"/>
      <c r="D11" s="8"/>
      <c r="E11" s="9"/>
      <c r="H11" s="91">
        <v>46024.0</v>
      </c>
      <c r="I11" s="92">
        <f t="shared" si="6"/>
        <v>2927</v>
      </c>
      <c r="J11" s="93">
        <f t="shared" si="3"/>
        <v>2341.6</v>
      </c>
      <c r="K11" s="93">
        <f t="shared" si="4"/>
        <v>117.1</v>
      </c>
      <c r="L11" s="99">
        <f t="shared" si="7"/>
        <v>2495</v>
      </c>
      <c r="M11" s="100" t="str">
        <f t="shared" si="8"/>
        <v>yes</v>
      </c>
      <c r="N11" s="96">
        <f t="shared" si="5"/>
        <v>16</v>
      </c>
    </row>
    <row r="12">
      <c r="B12" s="12"/>
      <c r="C12" s="13"/>
      <c r="D12" s="13"/>
      <c r="E12" s="14"/>
      <c r="H12" s="91">
        <v>46025.0</v>
      </c>
      <c r="I12" s="92">
        <f t="shared" si="6"/>
        <v>2894</v>
      </c>
      <c r="J12" s="93">
        <f t="shared" si="3"/>
        <v>2315.2</v>
      </c>
      <c r="K12" s="93">
        <f t="shared" si="4"/>
        <v>115.8</v>
      </c>
      <c r="L12" s="99">
        <f t="shared" si="7"/>
        <v>2609</v>
      </c>
      <c r="M12" s="100" t="str">
        <f t="shared" si="8"/>
        <v>yes</v>
      </c>
      <c r="N12" s="96">
        <f t="shared" si="5"/>
        <v>16</v>
      </c>
    </row>
    <row r="13">
      <c r="B13" s="102" t="s">
        <v>10</v>
      </c>
      <c r="C13" s="103">
        <v>100000.0</v>
      </c>
      <c r="D13" s="103">
        <v>300000.0</v>
      </c>
      <c r="E13" s="104">
        <v>0.04</v>
      </c>
      <c r="H13" s="91">
        <v>46026.0</v>
      </c>
      <c r="I13" s="92">
        <f t="shared" si="6"/>
        <v>2778</v>
      </c>
      <c r="J13" s="93">
        <f t="shared" si="3"/>
        <v>2222.4</v>
      </c>
      <c r="K13" s="93">
        <f t="shared" si="4"/>
        <v>111.1</v>
      </c>
      <c r="L13" s="99">
        <f t="shared" si="7"/>
        <v>2681</v>
      </c>
      <c r="M13" s="100" t="str">
        <f t="shared" si="8"/>
        <v>yes</v>
      </c>
      <c r="N13" s="96">
        <f t="shared" si="5"/>
        <v>16</v>
      </c>
    </row>
    <row r="14">
      <c r="B14" s="105" t="s">
        <v>13</v>
      </c>
      <c r="C14" s="97">
        <v>50000.0</v>
      </c>
      <c r="D14" s="97">
        <v>100000.0</v>
      </c>
      <c r="E14" s="106">
        <v>0.05</v>
      </c>
      <c r="H14" s="91">
        <v>46027.0</v>
      </c>
      <c r="I14" s="92">
        <f t="shared" si="6"/>
        <v>2295</v>
      </c>
      <c r="J14" s="93">
        <f t="shared" si="3"/>
        <v>1836</v>
      </c>
      <c r="K14" s="93">
        <f t="shared" si="4"/>
        <v>91.8</v>
      </c>
      <c r="L14" s="99">
        <f t="shared" si="7"/>
        <v>2713</v>
      </c>
      <c r="M14" s="100" t="str">
        <f t="shared" si="8"/>
        <v>no</v>
      </c>
      <c r="N14" s="96">
        <f t="shared" si="5"/>
        <v>16</v>
      </c>
    </row>
    <row r="15">
      <c r="B15" s="107" t="s">
        <v>0</v>
      </c>
      <c r="C15" s="108">
        <v>0.0</v>
      </c>
      <c r="D15" s="108">
        <v>50000.0</v>
      </c>
      <c r="E15" s="109">
        <v>0.06</v>
      </c>
      <c r="H15" s="91">
        <v>46028.0</v>
      </c>
      <c r="I15" s="92">
        <f t="shared" si="6"/>
        <v>2682</v>
      </c>
      <c r="J15" s="93">
        <f t="shared" si="3"/>
        <v>2145.6</v>
      </c>
      <c r="K15" s="93">
        <f t="shared" si="4"/>
        <v>107.3</v>
      </c>
      <c r="L15" s="99">
        <f t="shared" si="7"/>
        <v>2602</v>
      </c>
      <c r="M15" s="100" t="str">
        <f t="shared" si="8"/>
        <v>yes</v>
      </c>
      <c r="N15" s="96">
        <f t="shared" si="5"/>
        <v>16</v>
      </c>
    </row>
    <row r="16">
      <c r="H16" s="91">
        <v>46029.0</v>
      </c>
      <c r="I16" s="92">
        <f t="shared" si="6"/>
        <v>2121</v>
      </c>
      <c r="J16" s="93">
        <f t="shared" si="3"/>
        <v>1696.8</v>
      </c>
      <c r="K16" s="93">
        <f t="shared" si="4"/>
        <v>84.8</v>
      </c>
      <c r="L16" s="99">
        <f t="shared" si="7"/>
        <v>2625</v>
      </c>
      <c r="M16" s="100" t="str">
        <f t="shared" si="8"/>
        <v>no</v>
      </c>
      <c r="N16" s="96">
        <f t="shared" si="5"/>
        <v>16</v>
      </c>
    </row>
    <row r="17">
      <c r="H17" s="91">
        <v>46030.0</v>
      </c>
      <c r="I17" s="92">
        <f t="shared" si="6"/>
        <v>2681</v>
      </c>
      <c r="J17" s="93">
        <f t="shared" si="3"/>
        <v>2144.8</v>
      </c>
      <c r="K17" s="93">
        <f t="shared" si="4"/>
        <v>107.2</v>
      </c>
      <c r="L17" s="99">
        <f t="shared" si="7"/>
        <v>2501</v>
      </c>
      <c r="M17" s="100" t="str">
        <f t="shared" si="8"/>
        <v>yes</v>
      </c>
      <c r="N17" s="96">
        <f t="shared" si="5"/>
        <v>16</v>
      </c>
    </row>
    <row r="18">
      <c r="B18" s="101" t="s">
        <v>61</v>
      </c>
      <c r="C18" s="8"/>
      <c r="D18" s="8"/>
      <c r="E18" s="9"/>
      <c r="H18" s="91">
        <v>46031.0</v>
      </c>
      <c r="I18" s="92">
        <f t="shared" si="6"/>
        <v>2162</v>
      </c>
      <c r="J18" s="93">
        <f t="shared" si="3"/>
        <v>1729.6</v>
      </c>
      <c r="K18" s="93">
        <f t="shared" si="4"/>
        <v>86.5</v>
      </c>
      <c r="L18" s="99">
        <f t="shared" si="7"/>
        <v>2540</v>
      </c>
      <c r="M18" s="100" t="str">
        <f t="shared" si="8"/>
        <v>no</v>
      </c>
      <c r="N18" s="96">
        <f t="shared" si="5"/>
        <v>16</v>
      </c>
    </row>
    <row r="19">
      <c r="B19" s="12"/>
      <c r="C19" s="13"/>
      <c r="D19" s="13"/>
      <c r="E19" s="14"/>
      <c r="H19" s="91">
        <v>46032.0</v>
      </c>
      <c r="I19" s="92">
        <f t="shared" si="6"/>
        <v>2883</v>
      </c>
      <c r="J19" s="93">
        <f t="shared" si="3"/>
        <v>2306.4</v>
      </c>
      <c r="K19" s="93">
        <f t="shared" si="4"/>
        <v>115.3</v>
      </c>
      <c r="L19" s="99">
        <f t="shared" si="7"/>
        <v>2425</v>
      </c>
      <c r="M19" s="100" t="str">
        <f t="shared" si="8"/>
        <v>yes</v>
      </c>
      <c r="N19" s="96">
        <f t="shared" si="5"/>
        <v>16</v>
      </c>
    </row>
    <row r="20">
      <c r="B20" s="102" t="s">
        <v>10</v>
      </c>
      <c r="C20" s="103">
        <f t="shared" ref="C20:D20" si="9">round(C13/30,0)</f>
        <v>3333</v>
      </c>
      <c r="D20" s="103">
        <f t="shared" si="9"/>
        <v>10000</v>
      </c>
      <c r="E20" s="104">
        <f t="shared" ref="E20:E22" si="11">E13</f>
        <v>0.04</v>
      </c>
      <c r="G20" s="1"/>
      <c r="H20" s="91">
        <v>46033.0</v>
      </c>
      <c r="I20" s="92">
        <f t="shared" si="6"/>
        <v>2674</v>
      </c>
      <c r="J20" s="93">
        <f t="shared" si="3"/>
        <v>2139.2</v>
      </c>
      <c r="K20" s="93">
        <f t="shared" si="4"/>
        <v>107</v>
      </c>
      <c r="L20" s="99">
        <f t="shared" si="7"/>
        <v>2516</v>
      </c>
      <c r="M20" s="100" t="str">
        <f t="shared" si="8"/>
        <v>yes</v>
      </c>
      <c r="N20" s="96">
        <f t="shared" si="5"/>
        <v>16</v>
      </c>
    </row>
    <row r="21">
      <c r="B21" s="105" t="s">
        <v>13</v>
      </c>
      <c r="C21" s="97">
        <f t="shared" ref="C21:D21" si="10">round(C14/30,0)</f>
        <v>1667</v>
      </c>
      <c r="D21" s="97">
        <f t="shared" si="10"/>
        <v>3333</v>
      </c>
      <c r="E21" s="106">
        <f t="shared" si="11"/>
        <v>0.05</v>
      </c>
      <c r="H21" s="91">
        <v>46034.0</v>
      </c>
      <c r="I21" s="92">
        <f t="shared" si="6"/>
        <v>3035</v>
      </c>
      <c r="J21" s="93">
        <f t="shared" si="3"/>
        <v>2428</v>
      </c>
      <c r="K21" s="93">
        <f t="shared" si="4"/>
        <v>121.4</v>
      </c>
      <c r="L21" s="99">
        <f t="shared" si="7"/>
        <v>2556</v>
      </c>
      <c r="M21" s="100" t="str">
        <f t="shared" si="8"/>
        <v>yes</v>
      </c>
      <c r="N21" s="96">
        <f t="shared" si="5"/>
        <v>16</v>
      </c>
    </row>
    <row r="22">
      <c r="B22" s="107" t="s">
        <v>0</v>
      </c>
      <c r="C22" s="108">
        <f t="shared" ref="C22:D22" si="12">round(C15/30,0)</f>
        <v>0</v>
      </c>
      <c r="D22" s="108">
        <f t="shared" si="12"/>
        <v>1667</v>
      </c>
      <c r="E22" s="109">
        <f t="shared" si="11"/>
        <v>0.06</v>
      </c>
      <c r="G22" s="1"/>
      <c r="H22" s="91">
        <v>46035.0</v>
      </c>
      <c r="I22" s="92">
        <f t="shared" si="6"/>
        <v>2636</v>
      </c>
      <c r="J22" s="93">
        <f t="shared" si="3"/>
        <v>2108.8</v>
      </c>
      <c r="K22" s="93">
        <f t="shared" si="4"/>
        <v>105.4</v>
      </c>
      <c r="L22" s="99">
        <f t="shared" si="7"/>
        <v>2690</v>
      </c>
      <c r="M22" s="100" t="str">
        <f t="shared" si="8"/>
        <v>no</v>
      </c>
      <c r="N22" s="96">
        <f t="shared" si="5"/>
        <v>16</v>
      </c>
    </row>
    <row r="23">
      <c r="H23" s="91">
        <v>46036.0</v>
      </c>
      <c r="I23" s="92">
        <f t="shared" si="6"/>
        <v>2667</v>
      </c>
      <c r="J23" s="93">
        <f t="shared" si="3"/>
        <v>2133.6</v>
      </c>
      <c r="K23" s="93">
        <f t="shared" si="4"/>
        <v>106.7</v>
      </c>
      <c r="L23" s="99">
        <f t="shared" si="7"/>
        <v>2698</v>
      </c>
      <c r="M23" s="100" t="str">
        <f t="shared" si="8"/>
        <v>no</v>
      </c>
      <c r="N23" s="96">
        <f t="shared" si="5"/>
        <v>16</v>
      </c>
    </row>
    <row r="24">
      <c r="H24" s="91">
        <v>46037.0</v>
      </c>
      <c r="I24" s="92">
        <f t="shared" si="6"/>
        <v>2860</v>
      </c>
      <c r="J24" s="93">
        <f t="shared" si="3"/>
        <v>2288</v>
      </c>
      <c r="K24" s="93">
        <f t="shared" si="4"/>
        <v>114.4</v>
      </c>
      <c r="L24" s="99">
        <f t="shared" si="7"/>
        <v>2715</v>
      </c>
      <c r="M24" s="100" t="str">
        <f t="shared" si="8"/>
        <v>yes</v>
      </c>
      <c r="N24" s="96">
        <f t="shared" si="5"/>
        <v>16</v>
      </c>
    </row>
    <row r="25">
      <c r="B25" s="101" t="s">
        <v>62</v>
      </c>
      <c r="C25" s="9"/>
      <c r="E25" s="110" t="s">
        <v>23</v>
      </c>
      <c r="H25" s="91">
        <v>46038.0</v>
      </c>
      <c r="I25" s="92">
        <f t="shared" si="6"/>
        <v>2222</v>
      </c>
      <c r="J25" s="93">
        <f t="shared" si="3"/>
        <v>1777.6</v>
      </c>
      <c r="K25" s="93">
        <f t="shared" si="4"/>
        <v>88.9</v>
      </c>
      <c r="L25" s="99">
        <f t="shared" si="7"/>
        <v>2760</v>
      </c>
      <c r="M25" s="100" t="str">
        <f t="shared" si="8"/>
        <v>no</v>
      </c>
      <c r="N25" s="96">
        <f t="shared" si="5"/>
        <v>16</v>
      </c>
    </row>
    <row r="26">
      <c r="B26" s="12"/>
      <c r="C26" s="14"/>
      <c r="E26" s="111">
        <v>0.01</v>
      </c>
      <c r="H26" s="91">
        <v>46039.0</v>
      </c>
      <c r="I26" s="92">
        <f t="shared" si="6"/>
        <v>2440</v>
      </c>
      <c r="J26" s="93">
        <f t="shared" si="3"/>
        <v>1952</v>
      </c>
      <c r="K26" s="93">
        <f t="shared" si="4"/>
        <v>97.6</v>
      </c>
      <c r="L26" s="99">
        <f t="shared" si="7"/>
        <v>2640</v>
      </c>
      <c r="M26" s="100" t="str">
        <f t="shared" si="8"/>
        <v>no</v>
      </c>
      <c r="N26" s="96">
        <f t="shared" si="5"/>
        <v>16</v>
      </c>
      <c r="O26" s="1"/>
      <c r="Q26" s="21">
        <v>500.0</v>
      </c>
    </row>
    <row r="27">
      <c r="B27" s="102" t="s">
        <v>57</v>
      </c>
      <c r="C27" s="112">
        <f>SUM(I10:I24)</f>
        <v>39272</v>
      </c>
      <c r="H27" s="91">
        <v>46040.0</v>
      </c>
      <c r="I27" s="92">
        <f t="shared" si="6"/>
        <v>3251</v>
      </c>
      <c r="J27" s="93">
        <f t="shared" si="3"/>
        <v>2600.8</v>
      </c>
      <c r="K27" s="93">
        <f t="shared" si="4"/>
        <v>130</v>
      </c>
      <c r="L27" s="99">
        <f t="shared" si="7"/>
        <v>2573</v>
      </c>
      <c r="M27" s="100" t="str">
        <f t="shared" si="8"/>
        <v>yes</v>
      </c>
      <c r="N27" s="96">
        <f t="shared" si="5"/>
        <v>16</v>
      </c>
      <c r="Q27" s="42">
        <f>Q26*E26*8</f>
        <v>40</v>
      </c>
    </row>
    <row r="28">
      <c r="B28" s="105" t="s">
        <v>58</v>
      </c>
      <c r="C28" s="113">
        <f>SUM(J10:J24)</f>
        <v>31417.6</v>
      </c>
      <c r="E28" s="114" t="s">
        <v>63</v>
      </c>
      <c r="F28" s="115"/>
      <c r="H28" s="91">
        <v>46041.0</v>
      </c>
      <c r="I28" s="92">
        <f t="shared" si="6"/>
        <v>2739</v>
      </c>
      <c r="J28" s="93">
        <f t="shared" si="3"/>
        <v>2191.2</v>
      </c>
      <c r="K28" s="93">
        <f t="shared" si="4"/>
        <v>109.6</v>
      </c>
      <c r="L28" s="99">
        <f t="shared" si="7"/>
        <v>2723</v>
      </c>
      <c r="M28" s="100" t="str">
        <f t="shared" si="8"/>
        <v>yes</v>
      </c>
      <c r="N28" s="96">
        <f t="shared" si="5"/>
        <v>16</v>
      </c>
      <c r="Q28" s="42">
        <f>540</f>
        <v>540</v>
      </c>
    </row>
    <row r="29">
      <c r="B29" s="105" t="s">
        <v>2</v>
      </c>
      <c r="C29" s="113">
        <f>SUM(K10:K24)</f>
        <v>1570.9</v>
      </c>
      <c r="E29" s="116" t="s">
        <v>21</v>
      </c>
      <c r="F29" s="117">
        <f>COUNTIF(M10:M24,"yes")</f>
        <v>9</v>
      </c>
      <c r="H29" s="91">
        <v>46042.0</v>
      </c>
      <c r="I29" s="92">
        <f t="shared" si="6"/>
        <v>2034</v>
      </c>
      <c r="J29" s="93">
        <f t="shared" si="3"/>
        <v>1627.2</v>
      </c>
      <c r="K29" s="93">
        <f t="shared" si="4"/>
        <v>81.4</v>
      </c>
      <c r="L29" s="99">
        <f t="shared" si="7"/>
        <v>2726</v>
      </c>
      <c r="M29" s="100" t="str">
        <f t="shared" si="8"/>
        <v>no</v>
      </c>
      <c r="N29" s="96">
        <f t="shared" si="5"/>
        <v>16</v>
      </c>
    </row>
    <row r="30">
      <c r="B30" s="105" t="s">
        <v>64</v>
      </c>
      <c r="C30" s="113">
        <f>SUM(N10:N24)</f>
        <v>240</v>
      </c>
      <c r="E30" s="105" t="s">
        <v>65</v>
      </c>
      <c r="F30" s="118">
        <f>C31/C29</f>
        <v>0.09</v>
      </c>
      <c r="G30" s="1"/>
      <c r="H30" s="91">
        <v>46043.0</v>
      </c>
      <c r="I30" s="92">
        <f t="shared" si="6"/>
        <v>1939</v>
      </c>
      <c r="J30" s="93">
        <f t="shared" si="3"/>
        <v>1551.2</v>
      </c>
      <c r="K30" s="93">
        <f t="shared" si="4"/>
        <v>77.6</v>
      </c>
      <c r="L30" s="99">
        <f t="shared" si="7"/>
        <v>2562</v>
      </c>
      <c r="M30" s="100" t="str">
        <f t="shared" si="8"/>
        <v>no</v>
      </c>
      <c r="N30" s="96">
        <f t="shared" si="5"/>
        <v>16</v>
      </c>
    </row>
    <row r="31">
      <c r="B31" s="105" t="s">
        <v>26</v>
      </c>
      <c r="C31" s="113">
        <f>C29*$E$26*COUNTIF(M10:M24,"yes")</f>
        <v>141.381</v>
      </c>
      <c r="E31" s="105" t="s">
        <v>66</v>
      </c>
      <c r="F31" s="118">
        <f>C32/C28</f>
        <v>0.06213972423</v>
      </c>
      <c r="H31" s="91">
        <v>46044.0</v>
      </c>
      <c r="I31" s="92">
        <f t="shared" si="6"/>
        <v>2294</v>
      </c>
      <c r="J31" s="93">
        <f t="shared" si="3"/>
        <v>1835.2</v>
      </c>
      <c r="K31" s="93">
        <f t="shared" si="4"/>
        <v>91.8</v>
      </c>
      <c r="L31" s="99">
        <f t="shared" si="7"/>
        <v>2396</v>
      </c>
      <c r="M31" s="100" t="str">
        <f t="shared" si="8"/>
        <v>no</v>
      </c>
      <c r="N31" s="96">
        <f t="shared" si="5"/>
        <v>16</v>
      </c>
    </row>
    <row r="32">
      <c r="B32" s="107" t="s">
        <v>22</v>
      </c>
      <c r="C32" s="119">
        <f>C29+C30+C31</f>
        <v>1952.281</v>
      </c>
      <c r="E32" s="107" t="s">
        <v>67</v>
      </c>
      <c r="F32" s="120">
        <f>C32/C27</f>
        <v>0.04971177938</v>
      </c>
      <c r="H32" s="91">
        <v>46045.0</v>
      </c>
      <c r="I32" s="92">
        <f t="shared" si="6"/>
        <v>1805</v>
      </c>
      <c r="J32" s="93">
        <f t="shared" si="3"/>
        <v>1444</v>
      </c>
      <c r="K32" s="93">
        <f t="shared" si="4"/>
        <v>72.2</v>
      </c>
      <c r="L32" s="99">
        <f t="shared" si="7"/>
        <v>2345</v>
      </c>
      <c r="M32" s="100" t="str">
        <f t="shared" si="8"/>
        <v>no</v>
      </c>
      <c r="N32" s="96">
        <f t="shared" si="5"/>
        <v>16</v>
      </c>
    </row>
    <row r="33">
      <c r="G33" s="1"/>
      <c r="H33" s="91">
        <v>46046.0</v>
      </c>
      <c r="I33" s="92">
        <f t="shared" si="6"/>
        <v>2209</v>
      </c>
      <c r="J33" s="93">
        <f t="shared" si="3"/>
        <v>1767.2</v>
      </c>
      <c r="K33" s="93">
        <f t="shared" si="4"/>
        <v>88.4</v>
      </c>
      <c r="L33" s="99">
        <f t="shared" si="7"/>
        <v>2192</v>
      </c>
      <c r="M33" s="100" t="str">
        <f t="shared" si="8"/>
        <v>yes</v>
      </c>
      <c r="N33" s="96">
        <f t="shared" si="5"/>
        <v>16</v>
      </c>
    </row>
    <row r="34">
      <c r="B34" s="121" t="s">
        <v>68</v>
      </c>
      <c r="C34" s="9"/>
      <c r="H34" s="91">
        <v>46047.0</v>
      </c>
      <c r="I34" s="92">
        <f t="shared" si="6"/>
        <v>1937</v>
      </c>
      <c r="J34" s="93">
        <f t="shared" si="3"/>
        <v>1549.6</v>
      </c>
      <c r="K34" s="93">
        <f t="shared" si="4"/>
        <v>77.5</v>
      </c>
      <c r="L34" s="99">
        <f t="shared" si="7"/>
        <v>2155</v>
      </c>
      <c r="M34" s="100" t="str">
        <f t="shared" si="8"/>
        <v>no</v>
      </c>
      <c r="N34" s="96">
        <f t="shared" si="5"/>
        <v>16</v>
      </c>
    </row>
    <row r="35">
      <c r="B35" s="12"/>
      <c r="C35" s="14"/>
      <c r="E35" s="114" t="s">
        <v>69</v>
      </c>
      <c r="F35" s="115"/>
      <c r="H35" s="91">
        <v>46048.0</v>
      </c>
      <c r="I35" s="92">
        <f t="shared" si="6"/>
        <v>2381</v>
      </c>
      <c r="J35" s="93">
        <f t="shared" si="3"/>
        <v>1904.8</v>
      </c>
      <c r="K35" s="93">
        <f t="shared" si="4"/>
        <v>95.2</v>
      </c>
      <c r="L35" s="99">
        <f t="shared" si="7"/>
        <v>2059</v>
      </c>
      <c r="M35" s="100" t="str">
        <f t="shared" si="8"/>
        <v>yes</v>
      </c>
      <c r="N35" s="96">
        <f t="shared" si="5"/>
        <v>16</v>
      </c>
    </row>
    <row r="36">
      <c r="B36" s="122" t="s">
        <v>57</v>
      </c>
      <c r="C36" s="123">
        <f>SUM(I25:I40)</f>
        <v>40587</v>
      </c>
      <c r="E36" s="116" t="s">
        <v>21</v>
      </c>
      <c r="F36" s="117">
        <f>COUNTIF(M25:M40,"yes")</f>
        <v>9</v>
      </c>
      <c r="H36" s="91">
        <v>46049.0</v>
      </c>
      <c r="I36" s="92">
        <f t="shared" si="6"/>
        <v>3164</v>
      </c>
      <c r="J36" s="93">
        <f t="shared" si="3"/>
        <v>2531.2</v>
      </c>
      <c r="K36" s="93">
        <f t="shared" si="4"/>
        <v>126.6</v>
      </c>
      <c r="L36" s="99">
        <f t="shared" si="7"/>
        <v>2120</v>
      </c>
      <c r="M36" s="100" t="str">
        <f t="shared" si="8"/>
        <v>yes</v>
      </c>
      <c r="N36" s="96">
        <f t="shared" si="5"/>
        <v>16</v>
      </c>
    </row>
    <row r="37">
      <c r="B37" s="124" t="s">
        <v>58</v>
      </c>
      <c r="C37" s="125">
        <f>SUM(J25:J40)</f>
        <v>32469.6</v>
      </c>
      <c r="E37" s="105" t="s">
        <v>65</v>
      </c>
      <c r="F37" s="118">
        <f>C40/C38</f>
        <v>0.09</v>
      </c>
      <c r="H37" s="91">
        <v>46050.0</v>
      </c>
      <c r="I37" s="92">
        <f t="shared" si="6"/>
        <v>2856</v>
      </c>
      <c r="J37" s="93">
        <f t="shared" si="3"/>
        <v>2284.8</v>
      </c>
      <c r="K37" s="93">
        <f t="shared" si="4"/>
        <v>114.2</v>
      </c>
      <c r="L37" s="99">
        <f t="shared" si="7"/>
        <v>2389</v>
      </c>
      <c r="M37" s="100" t="str">
        <f t="shared" si="8"/>
        <v>yes</v>
      </c>
      <c r="N37" s="96">
        <f t="shared" si="5"/>
        <v>16</v>
      </c>
    </row>
    <row r="38">
      <c r="B38" s="124" t="s">
        <v>2</v>
      </c>
      <c r="C38" s="125">
        <f>SUM(K25:K40)</f>
        <v>1623.7</v>
      </c>
      <c r="E38" s="105" t="s">
        <v>66</v>
      </c>
      <c r="F38" s="118">
        <f>C41/C37</f>
        <v>0.0623916833</v>
      </c>
      <c r="G38" s="1"/>
      <c r="H38" s="91">
        <v>46051.0</v>
      </c>
      <c r="I38" s="92">
        <f t="shared" si="6"/>
        <v>3040</v>
      </c>
      <c r="J38" s="93">
        <f t="shared" si="3"/>
        <v>2432</v>
      </c>
      <c r="K38" s="93">
        <f t="shared" si="4"/>
        <v>121.6</v>
      </c>
      <c r="L38" s="99">
        <f t="shared" si="7"/>
        <v>2541</v>
      </c>
      <c r="M38" s="100" t="str">
        <f t="shared" si="8"/>
        <v>yes</v>
      </c>
      <c r="N38" s="96">
        <f t="shared" si="5"/>
        <v>16</v>
      </c>
    </row>
    <row r="39">
      <c r="B39" s="124" t="s">
        <v>64</v>
      </c>
      <c r="C39" s="125">
        <f>SUM(N25:N40)</f>
        <v>256</v>
      </c>
      <c r="E39" s="107" t="s">
        <v>67</v>
      </c>
      <c r="F39" s="120">
        <f>C41/C36</f>
        <v>0.04991334664</v>
      </c>
      <c r="H39" s="91">
        <v>46052.0</v>
      </c>
      <c r="I39" s="92">
        <f t="shared" si="6"/>
        <v>3119</v>
      </c>
      <c r="J39" s="93">
        <f t="shared" si="3"/>
        <v>2495.2</v>
      </c>
      <c r="K39" s="93">
        <f t="shared" si="4"/>
        <v>124.8</v>
      </c>
      <c r="L39" s="99">
        <f t="shared" si="7"/>
        <v>2707</v>
      </c>
      <c r="M39" s="100" t="str">
        <f t="shared" si="8"/>
        <v>yes</v>
      </c>
      <c r="N39" s="96">
        <f t="shared" si="5"/>
        <v>16</v>
      </c>
    </row>
    <row r="40">
      <c r="B40" s="124" t="s">
        <v>26</v>
      </c>
      <c r="C40" s="125">
        <f>C38*$E$26*COUNTIF(M25:M40,"yes")</f>
        <v>146.133</v>
      </c>
      <c r="H40" s="91">
        <v>46053.0</v>
      </c>
      <c r="I40" s="126">
        <f t="shared" si="6"/>
        <v>3157</v>
      </c>
      <c r="J40" s="127">
        <f t="shared" si="3"/>
        <v>2525.6</v>
      </c>
      <c r="K40" s="127">
        <f t="shared" si="4"/>
        <v>126.3</v>
      </c>
      <c r="L40" s="128">
        <f t="shared" si="7"/>
        <v>2866</v>
      </c>
      <c r="M40" s="129" t="str">
        <f t="shared" si="8"/>
        <v>yes</v>
      </c>
      <c r="N40" s="130">
        <f t="shared" si="5"/>
        <v>16</v>
      </c>
    </row>
    <row r="41">
      <c r="B41" s="131" t="s">
        <v>22</v>
      </c>
      <c r="C41" s="132">
        <f>C38+C39+C40</f>
        <v>2025.833</v>
      </c>
      <c r="G41" s="1"/>
      <c r="H41" s="90" t="s">
        <v>70</v>
      </c>
      <c r="I41" s="6">
        <f t="shared" ref="I41:K41" si="13">SUM(I10:I40)</f>
        <v>79859</v>
      </c>
      <c r="J41" s="6">
        <f t="shared" si="13"/>
        <v>63887.2</v>
      </c>
      <c r="K41" s="6">
        <f t="shared" si="13"/>
        <v>3194.6</v>
      </c>
      <c r="L41" s="45"/>
      <c r="M41" s="45">
        <f>COUNTIF(M10:M40,"yes")</f>
        <v>18</v>
      </c>
      <c r="N41" s="6">
        <f>SUM(N10:N40)</f>
        <v>496</v>
      </c>
    </row>
    <row r="49">
      <c r="I49" s="21" t="s">
        <v>47</v>
      </c>
      <c r="J49" s="21" t="s">
        <v>71</v>
      </c>
      <c r="K49" s="21" t="s">
        <v>72</v>
      </c>
    </row>
    <row r="50">
      <c r="J50" s="21" t="s">
        <v>73</v>
      </c>
    </row>
    <row r="54">
      <c r="J54" s="21" t="s">
        <v>74</v>
      </c>
    </row>
  </sheetData>
  <mergeCells count="6">
    <mergeCell ref="B11:E12"/>
    <mergeCell ref="B18:E19"/>
    <mergeCell ref="B25:C26"/>
    <mergeCell ref="E28:F28"/>
    <mergeCell ref="B34:C35"/>
    <mergeCell ref="E35:F35"/>
  </mergeCells>
  <dataValidations>
    <dataValidation type="list" allowBlank="1" showErrorMessage="1" sqref="N2">
      <formula1>"Hourly Salary (6h),Hourly Salary (8h),Hourly Salary (10h),Hourly Salary (12h)"</formula1>
    </dataValidation>
    <dataValidation type="list" allowBlank="1" showErrorMessage="1" sqref="H2">
      <formula1>"Tier A,Tier B,Tier C"</formula1>
    </dataValidation>
  </dataValidations>
  <drawing r:id="rId1"/>
</worksheet>
</file>